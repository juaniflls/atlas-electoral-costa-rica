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juani/TSE/Bases De Datos/"/>
    </mc:Choice>
  </mc:AlternateContent>
  <xr:revisionPtr revIDLastSave="0" documentId="8_{25673152-2DC0-724D-8613-9FC94C8B6103}" xr6:coauthVersionLast="47" xr6:coauthVersionMax="47" xr10:uidLastSave="{00000000-0000-0000-0000-000000000000}"/>
  <bookViews>
    <workbookView xWindow="35500" yWindow="1840" windowWidth="29400" windowHeight="16740" activeTab="15" xr2:uid="{00000000-000D-0000-FFFF-FFFF00000000}"/>
  </bookViews>
  <sheets>
    <sheet name="1953" sheetId="1" r:id="rId1"/>
    <sheet name="1958" sheetId="2" r:id="rId2"/>
    <sheet name="1962" sheetId="3" r:id="rId3"/>
    <sheet name="1966" sheetId="4" r:id="rId4"/>
    <sheet name="1970" sheetId="5" r:id="rId5"/>
    <sheet name="1974" sheetId="6" r:id="rId6"/>
    <sheet name="1978" sheetId="7" r:id="rId7"/>
    <sheet name="1982" sheetId="8" r:id="rId8"/>
    <sheet name="1986" sheetId="9" r:id="rId9"/>
    <sheet name="1990" sheetId="10" r:id="rId10"/>
    <sheet name="1994" sheetId="11" r:id="rId11"/>
    <sheet name="1998" sheetId="12" r:id="rId12"/>
    <sheet name="2002" sheetId="13" r:id="rId13"/>
    <sheet name="2006" sheetId="14" r:id="rId14"/>
    <sheet name="2010" sheetId="15" r:id="rId15"/>
    <sheet name="2014" sheetId="16" r:id="rId16"/>
    <sheet name="2018" sheetId="17" r:id="rId17"/>
    <sheet name="2022" sheetId="18" r:id="rId18"/>
    <sheet name="2026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B14" i="19"/>
  <c r="Z13" i="19"/>
  <c r="AA13" i="19" s="1"/>
  <c r="Z12" i="19"/>
  <c r="AA12" i="19" s="1"/>
  <c r="Z11" i="19"/>
  <c r="AA11" i="19" s="1"/>
  <c r="Z10" i="19"/>
  <c r="AA10" i="19" s="1"/>
  <c r="Z9" i="19"/>
  <c r="AA9" i="19" s="1"/>
  <c r="Z8" i="19"/>
  <c r="AA8" i="19" s="1"/>
  <c r="Z7" i="19"/>
  <c r="F25" i="18"/>
  <c r="E25" i="18"/>
  <c r="D25" i="18"/>
  <c r="C25" i="18"/>
  <c r="B25" i="18"/>
  <c r="H24" i="18"/>
  <c r="I24" i="18" s="1"/>
  <c r="H23" i="18"/>
  <c r="I23" i="18" s="1"/>
  <c r="H22" i="18"/>
  <c r="I22" i="18" s="1"/>
  <c r="H21" i="18"/>
  <c r="I21" i="18" s="1"/>
  <c r="H20" i="18"/>
  <c r="I20" i="18" s="1"/>
  <c r="H19" i="18"/>
  <c r="I19" i="18" s="1"/>
  <c r="H18" i="18"/>
  <c r="AC14" i="18"/>
  <c r="AB14" i="18"/>
  <c r="AA14" i="18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B14" i="18"/>
  <c r="AE13" i="18"/>
  <c r="AF13" i="18" s="1"/>
  <c r="AE12" i="18"/>
  <c r="AF12" i="18" s="1"/>
  <c r="AE11" i="18"/>
  <c r="AF11" i="18" s="1"/>
  <c r="AE10" i="18"/>
  <c r="AF10" i="18" s="1"/>
  <c r="AE9" i="18"/>
  <c r="AF9" i="18" s="1"/>
  <c r="AE8" i="18"/>
  <c r="AF8" i="18" s="1"/>
  <c r="AE7" i="18"/>
  <c r="F25" i="17"/>
  <c r="E25" i="17"/>
  <c r="D25" i="17"/>
  <c r="C25" i="17"/>
  <c r="B25" i="17"/>
  <c r="H24" i="17"/>
  <c r="I24" i="17" s="1"/>
  <c r="H23" i="17"/>
  <c r="I23" i="17" s="1"/>
  <c r="H22" i="17"/>
  <c r="I22" i="17" s="1"/>
  <c r="H21" i="17"/>
  <c r="I21" i="17" s="1"/>
  <c r="H20" i="17"/>
  <c r="I20" i="17" s="1"/>
  <c r="H19" i="17"/>
  <c r="I19" i="17" s="1"/>
  <c r="H18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S13" i="17"/>
  <c r="T13" i="17" s="1"/>
  <c r="S12" i="17"/>
  <c r="T12" i="17" s="1"/>
  <c r="S11" i="17"/>
  <c r="T11" i="17" s="1"/>
  <c r="S10" i="17"/>
  <c r="T10" i="17" s="1"/>
  <c r="S9" i="17"/>
  <c r="T9" i="17" s="1"/>
  <c r="S8" i="17"/>
  <c r="T8" i="17" s="1"/>
  <c r="S7" i="17"/>
  <c r="F25" i="16"/>
  <c r="E25" i="16"/>
  <c r="D25" i="16"/>
  <c r="C25" i="16"/>
  <c r="B25" i="16"/>
  <c r="H24" i="16"/>
  <c r="I24" i="16" s="1"/>
  <c r="H23" i="16"/>
  <c r="I23" i="16" s="1"/>
  <c r="H22" i="16"/>
  <c r="I22" i="16" s="1"/>
  <c r="H21" i="16"/>
  <c r="I21" i="16" s="1"/>
  <c r="H20" i="16"/>
  <c r="I20" i="16" s="1"/>
  <c r="H19" i="16"/>
  <c r="I19" i="16" s="1"/>
  <c r="H18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B14" i="16"/>
  <c r="S13" i="16"/>
  <c r="T13" i="16" s="1"/>
  <c r="S12" i="16"/>
  <c r="T12" i="16" s="1"/>
  <c r="S11" i="16"/>
  <c r="T11" i="16" s="1"/>
  <c r="S10" i="16"/>
  <c r="T10" i="16" s="1"/>
  <c r="S9" i="16"/>
  <c r="T9" i="16" s="1"/>
  <c r="S8" i="16"/>
  <c r="T8" i="16" s="1"/>
  <c r="S7" i="16"/>
  <c r="M14" i="15"/>
  <c r="L14" i="15"/>
  <c r="K14" i="15"/>
  <c r="J14" i="15"/>
  <c r="I14" i="15"/>
  <c r="H14" i="15"/>
  <c r="G14" i="15"/>
  <c r="F14" i="15"/>
  <c r="E14" i="15"/>
  <c r="D14" i="15"/>
  <c r="C14" i="15"/>
  <c r="B14" i="15"/>
  <c r="O13" i="15"/>
  <c r="P13" i="15" s="1"/>
  <c r="O12" i="15"/>
  <c r="P12" i="15" s="1"/>
  <c r="O11" i="15"/>
  <c r="P11" i="15" s="1"/>
  <c r="O10" i="15"/>
  <c r="P10" i="15" s="1"/>
  <c r="O9" i="15"/>
  <c r="P9" i="15" s="1"/>
  <c r="O8" i="15"/>
  <c r="P8" i="15" s="1"/>
  <c r="O7" i="15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T13" i="14"/>
  <c r="U13" i="14" s="1"/>
  <c r="T12" i="14"/>
  <c r="U12" i="14" s="1"/>
  <c r="T11" i="14"/>
  <c r="U11" i="14" s="1"/>
  <c r="T10" i="14"/>
  <c r="U10" i="14" s="1"/>
  <c r="T9" i="14"/>
  <c r="U9" i="14" s="1"/>
  <c r="T8" i="14"/>
  <c r="U8" i="14" s="1"/>
  <c r="T7" i="14"/>
  <c r="F25" i="13"/>
  <c r="E25" i="13"/>
  <c r="D25" i="13"/>
  <c r="C25" i="13"/>
  <c r="B25" i="13"/>
  <c r="H24" i="13"/>
  <c r="I24" i="13" s="1"/>
  <c r="H23" i="13"/>
  <c r="I23" i="13" s="1"/>
  <c r="H22" i="13"/>
  <c r="I22" i="13" s="1"/>
  <c r="H21" i="13"/>
  <c r="I21" i="13" s="1"/>
  <c r="H20" i="13"/>
  <c r="I20" i="13" s="1"/>
  <c r="H19" i="13"/>
  <c r="I19" i="13" s="1"/>
  <c r="H18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S13" i="13"/>
  <c r="T13" i="13" s="1"/>
  <c r="S12" i="13"/>
  <c r="T12" i="13" s="1"/>
  <c r="S11" i="13"/>
  <c r="T11" i="13" s="1"/>
  <c r="S10" i="13"/>
  <c r="T10" i="13" s="1"/>
  <c r="S9" i="13"/>
  <c r="T9" i="13" s="1"/>
  <c r="S8" i="13"/>
  <c r="T8" i="13" s="1"/>
  <c r="S7" i="13"/>
  <c r="T7" i="13" s="1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S13" i="12"/>
  <c r="T13" i="12" s="1"/>
  <c r="S12" i="12"/>
  <c r="T12" i="12" s="1"/>
  <c r="S11" i="12"/>
  <c r="T11" i="12" s="1"/>
  <c r="S10" i="12"/>
  <c r="T10" i="12" s="1"/>
  <c r="S9" i="12"/>
  <c r="T9" i="12" s="1"/>
  <c r="S8" i="12"/>
  <c r="T8" i="12" s="1"/>
  <c r="S7" i="12"/>
  <c r="K14" i="11"/>
  <c r="J14" i="11"/>
  <c r="I14" i="11"/>
  <c r="H14" i="11"/>
  <c r="G14" i="11"/>
  <c r="F14" i="11"/>
  <c r="E14" i="11"/>
  <c r="D14" i="11"/>
  <c r="C14" i="11"/>
  <c r="B14" i="11"/>
  <c r="M13" i="11"/>
  <c r="N13" i="11" s="1"/>
  <c r="M12" i="11"/>
  <c r="N12" i="11" s="1"/>
  <c r="M11" i="11"/>
  <c r="N11" i="11" s="1"/>
  <c r="M10" i="11"/>
  <c r="M9" i="11"/>
  <c r="N9" i="11" s="1"/>
  <c r="M8" i="11"/>
  <c r="N8" i="11" s="1"/>
  <c r="M7" i="11"/>
  <c r="N7" i="11" s="1"/>
  <c r="K14" i="10"/>
  <c r="J14" i="10"/>
  <c r="I14" i="10"/>
  <c r="H14" i="10"/>
  <c r="G14" i="10"/>
  <c r="F14" i="10"/>
  <c r="E14" i="10"/>
  <c r="D14" i="10"/>
  <c r="C14" i="10"/>
  <c r="B14" i="10"/>
  <c r="M13" i="10"/>
  <c r="N13" i="10" s="1"/>
  <c r="M12" i="10"/>
  <c r="N12" i="10" s="1"/>
  <c r="M11" i="10"/>
  <c r="N11" i="10" s="1"/>
  <c r="M10" i="10"/>
  <c r="N10" i="10" s="1"/>
  <c r="M9" i="10"/>
  <c r="N9" i="10" s="1"/>
  <c r="M8" i="10"/>
  <c r="N8" i="10" s="1"/>
  <c r="M7" i="10"/>
  <c r="J14" i="9"/>
  <c r="I14" i="9"/>
  <c r="H14" i="9"/>
  <c r="G14" i="9"/>
  <c r="F14" i="9"/>
  <c r="E14" i="9"/>
  <c r="D14" i="9"/>
  <c r="C14" i="9"/>
  <c r="B14" i="9"/>
  <c r="L13" i="9"/>
  <c r="M13" i="9" s="1"/>
  <c r="L12" i="9"/>
  <c r="M12" i="9" s="1"/>
  <c r="L11" i="9"/>
  <c r="M11" i="9" s="1"/>
  <c r="L10" i="9"/>
  <c r="M10" i="9" s="1"/>
  <c r="L9" i="9"/>
  <c r="M9" i="9" s="1"/>
  <c r="L8" i="9"/>
  <c r="M8" i="9" s="1"/>
  <c r="L7" i="9"/>
  <c r="J14" i="8"/>
  <c r="I14" i="8"/>
  <c r="H14" i="8"/>
  <c r="G14" i="8"/>
  <c r="F14" i="8"/>
  <c r="E14" i="8"/>
  <c r="D14" i="8"/>
  <c r="C14" i="8"/>
  <c r="B14" i="8"/>
  <c r="L13" i="8"/>
  <c r="M13" i="8" s="1"/>
  <c r="L12" i="8"/>
  <c r="M12" i="8" s="1"/>
  <c r="L11" i="8"/>
  <c r="M11" i="8" s="1"/>
  <c r="L10" i="8"/>
  <c r="M10" i="8" s="1"/>
  <c r="L9" i="8"/>
  <c r="M9" i="8" s="1"/>
  <c r="L8" i="8"/>
  <c r="M8" i="8" s="1"/>
  <c r="L7" i="8"/>
  <c r="L14" i="7"/>
  <c r="K14" i="7"/>
  <c r="J14" i="7"/>
  <c r="I14" i="7"/>
  <c r="H14" i="7"/>
  <c r="G14" i="7"/>
  <c r="F14" i="7"/>
  <c r="E14" i="7"/>
  <c r="D14" i="7"/>
  <c r="C14" i="7"/>
  <c r="B14" i="7"/>
  <c r="N13" i="7"/>
  <c r="O13" i="7" s="1"/>
  <c r="N12" i="7"/>
  <c r="O12" i="7" s="1"/>
  <c r="N11" i="7"/>
  <c r="O11" i="7" s="1"/>
  <c r="N10" i="7"/>
  <c r="O10" i="7" s="1"/>
  <c r="N9" i="7"/>
  <c r="O9" i="7" s="1"/>
  <c r="N8" i="7"/>
  <c r="O8" i="7" s="1"/>
  <c r="N7" i="7"/>
  <c r="L14" i="6"/>
  <c r="K14" i="6"/>
  <c r="J14" i="6"/>
  <c r="I14" i="6"/>
  <c r="H14" i="6"/>
  <c r="G14" i="6"/>
  <c r="F14" i="6"/>
  <c r="E14" i="6"/>
  <c r="D14" i="6"/>
  <c r="C14" i="6"/>
  <c r="B14" i="6"/>
  <c r="N13" i="6"/>
  <c r="O13" i="6" s="1"/>
  <c r="N12" i="6"/>
  <c r="N11" i="6"/>
  <c r="O11" i="6" s="1"/>
  <c r="N10" i="6"/>
  <c r="O10" i="6" s="1"/>
  <c r="N9" i="6"/>
  <c r="O9" i="6" s="1"/>
  <c r="N8" i="6"/>
  <c r="O8" i="6" s="1"/>
  <c r="N7" i="6"/>
  <c r="O7" i="6" s="1"/>
  <c r="I14" i="5"/>
  <c r="H14" i="5"/>
  <c r="G14" i="5"/>
  <c r="F14" i="5"/>
  <c r="E14" i="5"/>
  <c r="D14" i="5"/>
  <c r="C14" i="5"/>
  <c r="B14" i="5"/>
  <c r="K13" i="5"/>
  <c r="L13" i="5" s="1"/>
  <c r="K12" i="5"/>
  <c r="L12" i="5" s="1"/>
  <c r="K11" i="5"/>
  <c r="L11" i="5" s="1"/>
  <c r="K10" i="5"/>
  <c r="L10" i="5" s="1"/>
  <c r="K9" i="5"/>
  <c r="L9" i="5" s="1"/>
  <c r="K8" i="5"/>
  <c r="L8" i="5" s="1"/>
  <c r="K7" i="5"/>
  <c r="F14" i="4"/>
  <c r="E14" i="4"/>
  <c r="D14" i="4"/>
  <c r="C14" i="4"/>
  <c r="B14" i="4"/>
  <c r="H13" i="4"/>
  <c r="I13" i="4" s="1"/>
  <c r="H12" i="4"/>
  <c r="I12" i="4" s="1"/>
  <c r="H11" i="4"/>
  <c r="I11" i="4" s="1"/>
  <c r="H10" i="4"/>
  <c r="I10" i="4" s="1"/>
  <c r="H9" i="4"/>
  <c r="I9" i="4" s="1"/>
  <c r="H8" i="4"/>
  <c r="I8" i="4" s="1"/>
  <c r="H7" i="4"/>
  <c r="H14" i="3"/>
  <c r="G14" i="3"/>
  <c r="F14" i="3"/>
  <c r="E14" i="3"/>
  <c r="D14" i="3"/>
  <c r="C14" i="3"/>
  <c r="B14" i="3"/>
  <c r="J13" i="3"/>
  <c r="K13" i="3" s="1"/>
  <c r="J12" i="3"/>
  <c r="K12" i="3" s="1"/>
  <c r="J11" i="3"/>
  <c r="K11" i="3" s="1"/>
  <c r="J10" i="3"/>
  <c r="K10" i="3" s="1"/>
  <c r="J9" i="3"/>
  <c r="K9" i="3" s="1"/>
  <c r="J8" i="3"/>
  <c r="K8" i="3" s="1"/>
  <c r="J7" i="3"/>
  <c r="G14" i="2"/>
  <c r="F14" i="2"/>
  <c r="E14" i="2"/>
  <c r="D14" i="2"/>
  <c r="C14" i="2"/>
  <c r="B14" i="2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F14" i="1"/>
  <c r="E14" i="1"/>
  <c r="C14" i="1"/>
  <c r="B14" i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S14" i="13" l="1"/>
  <c r="T7" i="16"/>
  <c r="S14" i="16"/>
  <c r="U7" i="14"/>
  <c r="T14" i="14"/>
  <c r="M7" i="8"/>
  <c r="L14" i="8"/>
  <c r="K7" i="3"/>
  <c r="J14" i="3"/>
  <c r="AB13" i="19"/>
  <c r="Y13" i="19"/>
  <c r="AC13" i="19" s="1"/>
  <c r="AB12" i="19"/>
  <c r="Y12" i="19"/>
  <c r="AC12" i="19" s="1"/>
  <c r="AB11" i="19"/>
  <c r="Y11" i="19"/>
  <c r="AC11" i="19" s="1"/>
  <c r="AB10" i="19"/>
  <c r="Y10" i="19"/>
  <c r="AC10" i="19" s="1"/>
  <c r="AB9" i="19"/>
  <c r="Y9" i="19"/>
  <c r="AC9" i="19" s="1"/>
  <c r="AB8" i="19"/>
  <c r="Y8" i="19"/>
  <c r="AC8" i="19" s="1"/>
  <c r="Z14" i="19"/>
  <c r="AA7" i="19"/>
  <c r="J24" i="18"/>
  <c r="G24" i="18"/>
  <c r="K24" i="18" s="1"/>
  <c r="J23" i="18"/>
  <c r="G23" i="18"/>
  <c r="K23" i="18" s="1"/>
  <c r="J22" i="18"/>
  <c r="G22" i="18"/>
  <c r="K22" i="18" s="1"/>
  <c r="J21" i="18"/>
  <c r="G21" i="18"/>
  <c r="K21" i="18" s="1"/>
  <c r="J20" i="18"/>
  <c r="G20" i="18"/>
  <c r="K20" i="18" s="1"/>
  <c r="G19" i="18"/>
  <c r="K19" i="18" s="1"/>
  <c r="J19" i="18"/>
  <c r="H25" i="18"/>
  <c r="I18" i="18"/>
  <c r="AG13" i="18"/>
  <c r="AD13" i="18"/>
  <c r="AH13" i="18" s="1"/>
  <c r="AG12" i="18"/>
  <c r="AD12" i="18"/>
  <c r="AH12" i="18" s="1"/>
  <c r="AG11" i="18"/>
  <c r="AD11" i="18"/>
  <c r="AH11" i="18" s="1"/>
  <c r="AG10" i="18"/>
  <c r="AD10" i="18"/>
  <c r="AH10" i="18" s="1"/>
  <c r="AD9" i="18"/>
  <c r="AH9" i="18" s="1"/>
  <c r="AG9" i="18"/>
  <c r="AD8" i="18"/>
  <c r="AH8" i="18" s="1"/>
  <c r="AG8" i="18"/>
  <c r="AF7" i="18"/>
  <c r="AE14" i="18"/>
  <c r="J24" i="17"/>
  <c r="G24" i="17"/>
  <c r="K24" i="17" s="1"/>
  <c r="G23" i="17"/>
  <c r="K23" i="17" s="1"/>
  <c r="J23" i="17"/>
  <c r="G22" i="17"/>
  <c r="K22" i="17" s="1"/>
  <c r="J22" i="17"/>
  <c r="G21" i="17"/>
  <c r="K21" i="17" s="1"/>
  <c r="J21" i="17"/>
  <c r="J20" i="17"/>
  <c r="G20" i="17"/>
  <c r="K20" i="17" s="1"/>
  <c r="J19" i="17"/>
  <c r="G19" i="17"/>
  <c r="K19" i="17" s="1"/>
  <c r="I18" i="17"/>
  <c r="H25" i="17"/>
  <c r="U13" i="17"/>
  <c r="R13" i="17"/>
  <c r="V13" i="17" s="1"/>
  <c r="U12" i="17"/>
  <c r="R12" i="17"/>
  <c r="V12" i="17" s="1"/>
  <c r="U11" i="17"/>
  <c r="R11" i="17"/>
  <c r="V11" i="17" s="1"/>
  <c r="U10" i="17"/>
  <c r="R10" i="17"/>
  <c r="V10" i="17" s="1"/>
  <c r="U9" i="17"/>
  <c r="R9" i="17"/>
  <c r="V9" i="17" s="1"/>
  <c r="U8" i="17"/>
  <c r="R8" i="17"/>
  <c r="V8" i="17" s="1"/>
  <c r="S14" i="17"/>
  <c r="T7" i="17"/>
  <c r="J24" i="16"/>
  <c r="G24" i="16"/>
  <c r="K24" i="16" s="1"/>
  <c r="J23" i="16"/>
  <c r="G23" i="16"/>
  <c r="K23" i="16" s="1"/>
  <c r="J22" i="16"/>
  <c r="G22" i="16"/>
  <c r="K22" i="16" s="1"/>
  <c r="J21" i="16"/>
  <c r="G21" i="16"/>
  <c r="K21" i="16" s="1"/>
  <c r="J20" i="16"/>
  <c r="G20" i="16"/>
  <c r="K20" i="16" s="1"/>
  <c r="J19" i="16"/>
  <c r="G19" i="16"/>
  <c r="K19" i="16" s="1"/>
  <c r="I18" i="16"/>
  <c r="H25" i="16"/>
  <c r="U13" i="16"/>
  <c r="R13" i="16"/>
  <c r="V13" i="16" s="1"/>
  <c r="U12" i="16"/>
  <c r="R12" i="16"/>
  <c r="V12" i="16" s="1"/>
  <c r="U11" i="16"/>
  <c r="R11" i="16"/>
  <c r="V11" i="16" s="1"/>
  <c r="U10" i="16"/>
  <c r="R10" i="16"/>
  <c r="V10" i="16" s="1"/>
  <c r="U9" i="16"/>
  <c r="R9" i="16"/>
  <c r="V9" i="16" s="1"/>
  <c r="U8" i="16"/>
  <c r="R8" i="16"/>
  <c r="V8" i="16" s="1"/>
  <c r="Q13" i="15"/>
  <c r="N13" i="15"/>
  <c r="R13" i="15" s="1"/>
  <c r="Q12" i="15"/>
  <c r="N12" i="15"/>
  <c r="R12" i="15" s="1"/>
  <c r="Q11" i="15"/>
  <c r="N11" i="15"/>
  <c r="R11" i="15" s="1"/>
  <c r="Q10" i="15"/>
  <c r="N10" i="15"/>
  <c r="R10" i="15" s="1"/>
  <c r="Q9" i="15"/>
  <c r="N9" i="15"/>
  <c r="R9" i="15" s="1"/>
  <c r="Q8" i="15"/>
  <c r="N8" i="15"/>
  <c r="R8" i="15" s="1"/>
  <c r="O14" i="15"/>
  <c r="P7" i="15"/>
  <c r="V13" i="14"/>
  <c r="S13" i="14"/>
  <c r="W13" i="14" s="1"/>
  <c r="V12" i="14"/>
  <c r="S12" i="14"/>
  <c r="W12" i="14" s="1"/>
  <c r="V11" i="14"/>
  <c r="S11" i="14"/>
  <c r="W11" i="14" s="1"/>
  <c r="V10" i="14"/>
  <c r="S10" i="14"/>
  <c r="W10" i="14" s="1"/>
  <c r="V9" i="14"/>
  <c r="S9" i="14"/>
  <c r="W9" i="14" s="1"/>
  <c r="V8" i="14"/>
  <c r="S8" i="14"/>
  <c r="W8" i="14" s="1"/>
  <c r="J24" i="13"/>
  <c r="G24" i="13"/>
  <c r="K24" i="13" s="1"/>
  <c r="J23" i="13"/>
  <c r="G23" i="13"/>
  <c r="K23" i="13" s="1"/>
  <c r="J22" i="13"/>
  <c r="G22" i="13"/>
  <c r="K22" i="13" s="1"/>
  <c r="J21" i="13"/>
  <c r="G21" i="13"/>
  <c r="K21" i="13" s="1"/>
  <c r="J20" i="13"/>
  <c r="G20" i="13"/>
  <c r="K20" i="13" s="1"/>
  <c r="J19" i="13"/>
  <c r="G19" i="13"/>
  <c r="K19" i="13" s="1"/>
  <c r="I18" i="13"/>
  <c r="H25" i="13"/>
  <c r="U13" i="13"/>
  <c r="R13" i="13"/>
  <c r="V13" i="13" s="1"/>
  <c r="U12" i="13"/>
  <c r="R12" i="13"/>
  <c r="V12" i="13" s="1"/>
  <c r="U11" i="13"/>
  <c r="R11" i="13"/>
  <c r="V11" i="13" s="1"/>
  <c r="U10" i="13"/>
  <c r="R10" i="13"/>
  <c r="V10" i="13" s="1"/>
  <c r="U9" i="13"/>
  <c r="R9" i="13"/>
  <c r="V9" i="13" s="1"/>
  <c r="U8" i="13"/>
  <c r="R8" i="13"/>
  <c r="V8" i="13" s="1"/>
  <c r="U7" i="13"/>
  <c r="T14" i="13"/>
  <c r="U14" i="13" s="1"/>
  <c r="R7" i="13"/>
  <c r="U13" i="12"/>
  <c r="R13" i="12"/>
  <c r="V13" i="12" s="1"/>
  <c r="U12" i="12"/>
  <c r="R12" i="12"/>
  <c r="V12" i="12" s="1"/>
  <c r="U11" i="12"/>
  <c r="R11" i="12"/>
  <c r="V11" i="12" s="1"/>
  <c r="U10" i="12"/>
  <c r="R10" i="12"/>
  <c r="V10" i="12" s="1"/>
  <c r="U9" i="12"/>
  <c r="R9" i="12"/>
  <c r="V9" i="12" s="1"/>
  <c r="U8" i="12"/>
  <c r="R8" i="12"/>
  <c r="V8" i="12" s="1"/>
  <c r="T7" i="12"/>
  <c r="S14" i="12"/>
  <c r="O13" i="11"/>
  <c r="L13" i="11"/>
  <c r="P13" i="11" s="1"/>
  <c r="O12" i="11"/>
  <c r="L12" i="11"/>
  <c r="P12" i="11" s="1"/>
  <c r="O11" i="11"/>
  <c r="L11" i="11"/>
  <c r="P11" i="11" s="1"/>
  <c r="N10" i="11"/>
  <c r="M14" i="11"/>
  <c r="O9" i="11"/>
  <c r="L9" i="11"/>
  <c r="P9" i="11" s="1"/>
  <c r="O8" i="11"/>
  <c r="L8" i="11"/>
  <c r="P8" i="11" s="1"/>
  <c r="O7" i="11"/>
  <c r="N14" i="11"/>
  <c r="O14" i="11" s="1"/>
  <c r="L7" i="11"/>
  <c r="O13" i="10"/>
  <c r="L13" i="10"/>
  <c r="P13" i="10" s="1"/>
  <c r="O12" i="10"/>
  <c r="L12" i="10"/>
  <c r="P12" i="10" s="1"/>
  <c r="O11" i="10"/>
  <c r="L11" i="10"/>
  <c r="P11" i="10" s="1"/>
  <c r="O10" i="10"/>
  <c r="L10" i="10"/>
  <c r="P10" i="10" s="1"/>
  <c r="O9" i="10"/>
  <c r="L9" i="10"/>
  <c r="P9" i="10" s="1"/>
  <c r="O8" i="10"/>
  <c r="L8" i="10"/>
  <c r="P8" i="10" s="1"/>
  <c r="N7" i="10"/>
  <c r="M14" i="10"/>
  <c r="N13" i="9"/>
  <c r="K13" i="9"/>
  <c r="O13" i="9" s="1"/>
  <c r="N12" i="9"/>
  <c r="K12" i="9"/>
  <c r="O12" i="9" s="1"/>
  <c r="N11" i="9"/>
  <c r="K11" i="9"/>
  <c r="O11" i="9" s="1"/>
  <c r="N10" i="9"/>
  <c r="K10" i="9"/>
  <c r="O10" i="9" s="1"/>
  <c r="N9" i="9"/>
  <c r="K9" i="9"/>
  <c r="O9" i="9" s="1"/>
  <c r="N8" i="9"/>
  <c r="K8" i="9"/>
  <c r="O8" i="9" s="1"/>
  <c r="M7" i="9"/>
  <c r="L14" i="9"/>
  <c r="N13" i="8"/>
  <c r="K13" i="8"/>
  <c r="O13" i="8" s="1"/>
  <c r="N12" i="8"/>
  <c r="K12" i="8"/>
  <c r="O12" i="8" s="1"/>
  <c r="N11" i="8"/>
  <c r="K11" i="8"/>
  <c r="O11" i="8" s="1"/>
  <c r="N10" i="8"/>
  <c r="K10" i="8"/>
  <c r="O10" i="8" s="1"/>
  <c r="N9" i="8"/>
  <c r="K9" i="8"/>
  <c r="O9" i="8" s="1"/>
  <c r="N8" i="8"/>
  <c r="K8" i="8"/>
  <c r="O8" i="8" s="1"/>
  <c r="P13" i="7"/>
  <c r="M13" i="7"/>
  <c r="Q13" i="7" s="1"/>
  <c r="P12" i="7"/>
  <c r="M12" i="7"/>
  <c r="Q12" i="7" s="1"/>
  <c r="P11" i="7"/>
  <c r="M11" i="7"/>
  <c r="Q11" i="7" s="1"/>
  <c r="P10" i="7"/>
  <c r="M10" i="7"/>
  <c r="Q10" i="7" s="1"/>
  <c r="P9" i="7"/>
  <c r="M9" i="7"/>
  <c r="Q9" i="7" s="1"/>
  <c r="P8" i="7"/>
  <c r="M8" i="7"/>
  <c r="Q8" i="7" s="1"/>
  <c r="N14" i="7"/>
  <c r="O7" i="7"/>
  <c r="P13" i="6"/>
  <c r="M13" i="6"/>
  <c r="Q13" i="6" s="1"/>
  <c r="N14" i="6"/>
  <c r="O12" i="6"/>
  <c r="O14" i="6" s="1"/>
  <c r="P14" i="6" s="1"/>
  <c r="P11" i="6"/>
  <c r="M11" i="6"/>
  <c r="Q11" i="6" s="1"/>
  <c r="P10" i="6"/>
  <c r="M10" i="6"/>
  <c r="Q10" i="6" s="1"/>
  <c r="P9" i="6"/>
  <c r="M9" i="6"/>
  <c r="Q9" i="6" s="1"/>
  <c r="P8" i="6"/>
  <c r="M8" i="6"/>
  <c r="Q8" i="6" s="1"/>
  <c r="P7" i="6"/>
  <c r="M7" i="6"/>
  <c r="M13" i="5"/>
  <c r="J13" i="5"/>
  <c r="N13" i="5" s="1"/>
  <c r="M12" i="5"/>
  <c r="J12" i="5"/>
  <c r="N12" i="5" s="1"/>
  <c r="M11" i="5"/>
  <c r="J11" i="5"/>
  <c r="N11" i="5" s="1"/>
  <c r="M10" i="5"/>
  <c r="J10" i="5"/>
  <c r="N10" i="5" s="1"/>
  <c r="M9" i="5"/>
  <c r="J9" i="5"/>
  <c r="N9" i="5" s="1"/>
  <c r="M8" i="5"/>
  <c r="J8" i="5"/>
  <c r="N8" i="5" s="1"/>
  <c r="K14" i="5"/>
  <c r="L7" i="5"/>
  <c r="J13" i="4"/>
  <c r="G13" i="4"/>
  <c r="K13" i="4" s="1"/>
  <c r="J12" i="4"/>
  <c r="G12" i="4"/>
  <c r="K12" i="4" s="1"/>
  <c r="J11" i="4"/>
  <c r="G11" i="4"/>
  <c r="K11" i="4" s="1"/>
  <c r="J10" i="4"/>
  <c r="G10" i="4"/>
  <c r="K10" i="4" s="1"/>
  <c r="J9" i="4"/>
  <c r="G9" i="4"/>
  <c r="K9" i="4" s="1"/>
  <c r="J8" i="4"/>
  <c r="G8" i="4"/>
  <c r="K8" i="4" s="1"/>
  <c r="I7" i="4"/>
  <c r="H14" i="4"/>
  <c r="L13" i="3"/>
  <c r="I13" i="3"/>
  <c r="M13" i="3" s="1"/>
  <c r="L12" i="3"/>
  <c r="I12" i="3"/>
  <c r="M12" i="3" s="1"/>
  <c r="L11" i="3"/>
  <c r="I11" i="3"/>
  <c r="M11" i="3" s="1"/>
  <c r="L10" i="3"/>
  <c r="I10" i="3"/>
  <c r="M10" i="3" s="1"/>
  <c r="L9" i="3"/>
  <c r="I9" i="3"/>
  <c r="M9" i="3" s="1"/>
  <c r="L8" i="3"/>
  <c r="I8" i="3"/>
  <c r="M8" i="3" s="1"/>
  <c r="K13" i="2"/>
  <c r="H13" i="2"/>
  <c r="L13" i="2" s="1"/>
  <c r="K12" i="2"/>
  <c r="H12" i="2"/>
  <c r="L12" i="2" s="1"/>
  <c r="K11" i="2"/>
  <c r="H11" i="2"/>
  <c r="L11" i="2" s="1"/>
  <c r="K10" i="2"/>
  <c r="H10" i="2"/>
  <c r="L10" i="2" s="1"/>
  <c r="K9" i="2"/>
  <c r="H9" i="2"/>
  <c r="L9" i="2" s="1"/>
  <c r="K8" i="2"/>
  <c r="H8" i="2"/>
  <c r="L8" i="2" s="1"/>
  <c r="J7" i="2"/>
  <c r="I14" i="2"/>
  <c r="J13" i="1"/>
  <c r="G13" i="1"/>
  <c r="K13" i="1" s="1"/>
  <c r="J12" i="1"/>
  <c r="G12" i="1"/>
  <c r="K12" i="1" s="1"/>
  <c r="J11" i="1"/>
  <c r="G11" i="1"/>
  <c r="K11" i="1" s="1"/>
  <c r="J10" i="1"/>
  <c r="G10" i="1"/>
  <c r="K10" i="1" s="1"/>
  <c r="G9" i="1"/>
  <c r="K9" i="1" s="1"/>
  <c r="J9" i="1"/>
  <c r="G8" i="1"/>
  <c r="K8" i="1" s="1"/>
  <c r="J8" i="1"/>
  <c r="I7" i="1"/>
  <c r="H14" i="1"/>
  <c r="C15" i="1" s="1"/>
  <c r="G15" i="13" l="1"/>
  <c r="I15" i="13"/>
  <c r="L15" i="13"/>
  <c r="B15" i="13"/>
  <c r="E15" i="13"/>
  <c r="M15" i="13"/>
  <c r="F15" i="13"/>
  <c r="H15" i="13"/>
  <c r="J15" i="13"/>
  <c r="N15" i="13"/>
  <c r="C15" i="13"/>
  <c r="D15" i="13"/>
  <c r="K15" i="13"/>
  <c r="U7" i="16"/>
  <c r="T14" i="16"/>
  <c r="U14" i="16" s="1"/>
  <c r="R7" i="16"/>
  <c r="N15" i="16"/>
  <c r="M15" i="16"/>
  <c r="K15" i="16"/>
  <c r="C15" i="16"/>
  <c r="D15" i="16"/>
  <c r="E15" i="16"/>
  <c r="F15" i="16"/>
  <c r="G15" i="16"/>
  <c r="H15" i="16"/>
  <c r="I15" i="16"/>
  <c r="J15" i="16"/>
  <c r="L15" i="16"/>
  <c r="B15" i="16"/>
  <c r="S7" i="14"/>
  <c r="U14" i="14"/>
  <c r="V14" i="14" s="1"/>
  <c r="V7" i="14"/>
  <c r="D15" i="14"/>
  <c r="G15" i="14"/>
  <c r="E15" i="14"/>
  <c r="C15" i="14"/>
  <c r="I15" i="14"/>
  <c r="H15" i="14"/>
  <c r="F15" i="14"/>
  <c r="B15" i="14"/>
  <c r="N7" i="8"/>
  <c r="M14" i="8"/>
  <c r="N14" i="8" s="1"/>
  <c r="K7" i="8"/>
  <c r="B15" i="8"/>
  <c r="F15" i="8"/>
  <c r="D15" i="8"/>
  <c r="E15" i="8"/>
  <c r="C15" i="8"/>
  <c r="G15" i="8"/>
  <c r="I7" i="3"/>
  <c r="K14" i="3"/>
  <c r="L14" i="3" s="1"/>
  <c r="L7" i="3"/>
  <c r="E15" i="3"/>
  <c r="D15" i="3"/>
  <c r="B15" i="3"/>
  <c r="C15" i="3"/>
  <c r="J15" i="14"/>
  <c r="K15" i="14"/>
  <c r="L15" i="14"/>
  <c r="M15" i="14"/>
  <c r="N15" i="14"/>
  <c r="O15" i="14"/>
  <c r="B15" i="19"/>
  <c r="C15" i="19"/>
  <c r="D15" i="19"/>
  <c r="E15" i="19"/>
  <c r="F15" i="19"/>
  <c r="G15" i="19"/>
  <c r="H15" i="19"/>
  <c r="I15" i="19"/>
  <c r="J15" i="19"/>
  <c r="L15" i="19"/>
  <c r="M15" i="19"/>
  <c r="O15" i="19"/>
  <c r="R15" i="19"/>
  <c r="T15" i="19"/>
  <c r="U15" i="19"/>
  <c r="K15" i="19"/>
  <c r="N15" i="19"/>
  <c r="P15" i="19"/>
  <c r="Q15" i="19"/>
  <c r="S15" i="19"/>
  <c r="AB7" i="19"/>
  <c r="AA14" i="19"/>
  <c r="AB14" i="19" s="1"/>
  <c r="Y7" i="19"/>
  <c r="C26" i="18"/>
  <c r="B26" i="18"/>
  <c r="J18" i="18"/>
  <c r="I25" i="18"/>
  <c r="J25" i="18" s="1"/>
  <c r="G18" i="18"/>
  <c r="AF14" i="18"/>
  <c r="AG14" i="18" s="1"/>
  <c r="AG7" i="18"/>
  <c r="AD7" i="18"/>
  <c r="B15" i="18"/>
  <c r="C15" i="18"/>
  <c r="D15" i="18"/>
  <c r="E15" i="18"/>
  <c r="F15" i="18"/>
  <c r="G15" i="18"/>
  <c r="H15" i="18"/>
  <c r="I15" i="18"/>
  <c r="J15" i="18"/>
  <c r="K15" i="18"/>
  <c r="L15" i="18"/>
  <c r="M15" i="18"/>
  <c r="N15" i="18"/>
  <c r="O15" i="18"/>
  <c r="P15" i="18"/>
  <c r="Q15" i="18"/>
  <c r="R15" i="18"/>
  <c r="S15" i="18"/>
  <c r="T15" i="18"/>
  <c r="U15" i="18"/>
  <c r="V15" i="18"/>
  <c r="W15" i="18"/>
  <c r="X15" i="18"/>
  <c r="Y15" i="18"/>
  <c r="Z15" i="18"/>
  <c r="J18" i="17"/>
  <c r="I25" i="17"/>
  <c r="J25" i="17" s="1"/>
  <c r="G18" i="17"/>
  <c r="B26" i="17"/>
  <c r="C26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U7" i="17"/>
  <c r="T14" i="17"/>
  <c r="U14" i="17" s="1"/>
  <c r="R7" i="17"/>
  <c r="J18" i="16"/>
  <c r="I25" i="16"/>
  <c r="J25" i="16" s="1"/>
  <c r="G18" i="16"/>
  <c r="B26" i="16"/>
  <c r="C26" i="16"/>
  <c r="V7" i="16"/>
  <c r="R14" i="16"/>
  <c r="V14" i="16" s="1"/>
  <c r="B15" i="15"/>
  <c r="C15" i="15"/>
  <c r="D15" i="15"/>
  <c r="E15" i="15"/>
  <c r="F15" i="15"/>
  <c r="G15" i="15"/>
  <c r="J15" i="15"/>
  <c r="H15" i="15"/>
  <c r="I15" i="15"/>
  <c r="Q7" i="15"/>
  <c r="P14" i="15"/>
  <c r="Q14" i="15" s="1"/>
  <c r="N7" i="15"/>
  <c r="W7" i="14"/>
  <c r="S14" i="14"/>
  <c r="W14" i="14" s="1"/>
  <c r="J18" i="13"/>
  <c r="I25" i="13"/>
  <c r="J25" i="13" s="1"/>
  <c r="G18" i="13"/>
  <c r="B26" i="13"/>
  <c r="C26" i="13"/>
  <c r="V7" i="13"/>
  <c r="R14" i="13"/>
  <c r="V14" i="13" s="1"/>
  <c r="U7" i="12"/>
  <c r="T14" i="12"/>
  <c r="U14" i="12" s="1"/>
  <c r="R7" i="12"/>
  <c r="B15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O10" i="11"/>
  <c r="L10" i="11"/>
  <c r="B15" i="11"/>
  <c r="C15" i="11"/>
  <c r="D15" i="11"/>
  <c r="E15" i="11"/>
  <c r="G15" i="11"/>
  <c r="H15" i="11"/>
  <c r="F15" i="11"/>
  <c r="P7" i="11"/>
  <c r="O7" i="10"/>
  <c r="N14" i="10"/>
  <c r="O14" i="10" s="1"/>
  <c r="L7" i="10"/>
  <c r="F15" i="10"/>
  <c r="H15" i="10"/>
  <c r="B15" i="10"/>
  <c r="C15" i="10"/>
  <c r="D15" i="10"/>
  <c r="E15" i="10"/>
  <c r="G15" i="10"/>
  <c r="N7" i="9"/>
  <c r="M14" i="9"/>
  <c r="N14" i="9" s="1"/>
  <c r="K7" i="9"/>
  <c r="C15" i="9"/>
  <c r="E15" i="9"/>
  <c r="F15" i="9"/>
  <c r="G15" i="9"/>
  <c r="B15" i="9"/>
  <c r="D15" i="9"/>
  <c r="B15" i="7"/>
  <c r="C15" i="7"/>
  <c r="D15" i="7"/>
  <c r="E15" i="7"/>
  <c r="F15" i="7"/>
  <c r="G15" i="7"/>
  <c r="H15" i="7"/>
  <c r="I15" i="7"/>
  <c r="P7" i="7"/>
  <c r="O14" i="7"/>
  <c r="P14" i="7" s="1"/>
  <c r="M7" i="7"/>
  <c r="B15" i="6"/>
  <c r="C15" i="6"/>
  <c r="D15" i="6"/>
  <c r="E15" i="6"/>
  <c r="F15" i="6"/>
  <c r="G15" i="6"/>
  <c r="H15" i="6"/>
  <c r="I15" i="6"/>
  <c r="M12" i="6"/>
  <c r="Q12" i="6" s="1"/>
  <c r="P12" i="6"/>
  <c r="Q7" i="6"/>
  <c r="M14" i="6"/>
  <c r="Q14" i="6" s="1"/>
  <c r="B15" i="5"/>
  <c r="C15" i="5"/>
  <c r="D15" i="5"/>
  <c r="E15" i="5"/>
  <c r="F15" i="5"/>
  <c r="M7" i="5"/>
  <c r="L14" i="5"/>
  <c r="M14" i="5" s="1"/>
  <c r="J7" i="5"/>
  <c r="J7" i="4"/>
  <c r="I14" i="4"/>
  <c r="J14" i="4" s="1"/>
  <c r="G7" i="4"/>
  <c r="B15" i="4"/>
  <c r="C15" i="4"/>
  <c r="K7" i="2"/>
  <c r="J14" i="2"/>
  <c r="K14" i="2" s="1"/>
  <c r="H7" i="2"/>
  <c r="B15" i="2"/>
  <c r="C15" i="2"/>
  <c r="D15" i="2"/>
  <c r="G7" i="1"/>
  <c r="J7" i="1"/>
  <c r="I14" i="1"/>
  <c r="J14" i="1" s="1"/>
  <c r="B15" i="1"/>
  <c r="O7" i="8" l="1"/>
  <c r="K14" i="8"/>
  <c r="O14" i="8" s="1"/>
  <c r="M7" i="3"/>
  <c r="I14" i="3"/>
  <c r="M14" i="3" s="1"/>
  <c r="AC7" i="19"/>
  <c r="Y14" i="19"/>
  <c r="AC14" i="19" s="1"/>
  <c r="K18" i="18"/>
  <c r="G25" i="18"/>
  <c r="K25" i="18" s="1"/>
  <c r="AH7" i="18"/>
  <c r="AD14" i="18"/>
  <c r="AH14" i="18" s="1"/>
  <c r="K18" i="17"/>
  <c r="G25" i="17"/>
  <c r="K25" i="17" s="1"/>
  <c r="V7" i="17"/>
  <c r="R14" i="17"/>
  <c r="V14" i="17" s="1"/>
  <c r="K18" i="16"/>
  <c r="G25" i="16"/>
  <c r="K25" i="16" s="1"/>
  <c r="R7" i="15"/>
  <c r="N14" i="15"/>
  <c r="R14" i="15" s="1"/>
  <c r="K18" i="13"/>
  <c r="G25" i="13"/>
  <c r="K25" i="13" s="1"/>
  <c r="V7" i="12"/>
  <c r="R14" i="12"/>
  <c r="V14" i="12" s="1"/>
  <c r="P7" i="10"/>
  <c r="L14" i="10"/>
  <c r="P14" i="10" s="1"/>
  <c r="O7" i="9"/>
  <c r="K14" i="9"/>
  <c r="O14" i="9" s="1"/>
  <c r="Q7" i="7"/>
  <c r="M14" i="7"/>
  <c r="Q14" i="7" s="1"/>
  <c r="N7" i="5"/>
  <c r="J14" i="5"/>
  <c r="N14" i="5" s="1"/>
  <c r="K7" i="4"/>
  <c r="G14" i="4"/>
  <c r="K14" i="4" s="1"/>
  <c r="L7" i="2"/>
  <c r="H14" i="2"/>
  <c r="L14" i="2" s="1"/>
  <c r="K7" i="1"/>
  <c r="G14" i="1"/>
  <c r="K14" i="1" s="1"/>
  <c r="P10" i="11"/>
  <c r="L14" i="11"/>
  <c r="P14" i="11" s="1"/>
</calcChain>
</file>

<file path=xl/sharedStrings.xml><?xml version="1.0" encoding="utf-8"?>
<sst xmlns="http://schemas.openxmlformats.org/spreadsheetml/2006/main" count="623" uniqueCount="110">
  <si>
    <t>VOTOS – PRIMERA RONDA</t>
  </si>
  <si>
    <t>LIBERACIÓN NACIONAL</t>
  </si>
  <si>
    <t>DEMÓCRATA</t>
  </si>
  <si>
    <t>VOTOS EN BLANCO</t>
  </si>
  <si>
    <t>VOTOS NULOS</t>
  </si>
  <si>
    <t>ABSTENCIONISMO</t>
  </si>
  <si>
    <t>TOTAL PADRÓN</t>
  </si>
  <si>
    <t>TOTAL VÁLIDOS</t>
  </si>
  <si>
    <t>TOTAL VOTOS</t>
  </si>
  <si>
    <t>%NO VÁLIDOS</t>
  </si>
  <si>
    <t>%ABSTENCIONISMO</t>
  </si>
  <si>
    <t>ALAJUELA</t>
  </si>
  <si>
    <t>CARTAGO</t>
  </si>
  <si>
    <t>GUANACASTE</t>
  </si>
  <si>
    <t>HEREDIA</t>
  </si>
  <si>
    <t>LIMÓN</t>
  </si>
  <si>
    <t>PUNTARENAS</t>
  </si>
  <si>
    <t>SAN JOSÉ</t>
  </si>
  <si>
    <t>TOTAL COSTA RICA</t>
  </si>
  <si>
    <t>PORCENTAJE COSTA RICA</t>
  </si>
  <si>
    <t>FUENTE: Tribunal Supremo de Elecciones, resultados presidenciales oficiales (1953.xlsx).</t>
  </si>
  <si>
    <t>UNIÓN NACIONAL</t>
  </si>
  <si>
    <t>INDEPENDIENTE</t>
  </si>
  <si>
    <t>FUENTE: Tribunal Supremo de Elecciones, resultados presidenciales oficiales (1958.xlsx).</t>
  </si>
  <si>
    <t>REPUBLICANO</t>
  </si>
  <si>
    <t>ACCIÓN DEMOCRÁTICA POPULAR</t>
  </si>
  <si>
    <t>FUENTE: Tribunal Supremo de Elecciones, resultados presidenciales oficiales (1962.xlsx).</t>
  </si>
  <si>
    <t>UNIFICACIÓN NACIONAL</t>
  </si>
  <si>
    <t>FUENTE: Tribunal Supremo de Elecciones, resultados presidenciales oficiales (1966.xlsx).</t>
  </si>
  <si>
    <t>FRENTE NACIONAL</t>
  </si>
  <si>
    <t>ACCIÓN SOCIALISTA</t>
  </si>
  <si>
    <t>DEMÓCRATA CRISTIANO</t>
  </si>
  <si>
    <t>FUENTE: Tribunal Supremo de Elecciones, resultados presidenciales oficiales (1970.xlsx).</t>
  </si>
  <si>
    <t>NACIONAL INDEPENDIENTE</t>
  </si>
  <si>
    <t>RENOVACIÓN DEMOCRÁTICA</t>
  </si>
  <si>
    <t>SOCIALISTA COSTARRICENSE</t>
  </si>
  <si>
    <t>FUENTE: Tribunal Supremo de Elecciones, resultados presidenciales oficiales (1974.xlsx).</t>
  </si>
  <si>
    <t>COALICIÓN UNIDAD</t>
  </si>
  <si>
    <t>PUEBLO UNIDO COALICIÓN</t>
  </si>
  <si>
    <t>ORGANIZACIÓN SOCIALISTA DE LOS TRABAJADORES</t>
  </si>
  <si>
    <t>FUENTE: Tribunal Supremo de Elecciones, resultados presidenciales oficiales (1978.xlsx).</t>
  </si>
  <si>
    <t>MOVIMIENTO NACIONAL</t>
  </si>
  <si>
    <t>FUENTE: Tribunal Supremo de Elecciones, resultados presidenciales oficiales (1982.xlsx).</t>
  </si>
  <si>
    <t>UNIDAD SOCIAL CRISTIANA</t>
  </si>
  <si>
    <t>COALICIÓN ALIANZA POPULAR</t>
  </si>
  <si>
    <t>ALIANZA NACIONAL CRISTIANA</t>
  </si>
  <si>
    <t>FUENTE: Tribunal Supremo de Elecciones, resultados presidenciales oficiales (1986.xlsx).</t>
  </si>
  <si>
    <t>DEL PROGRESO</t>
  </si>
  <si>
    <t>REVOLUCIONARIO DE LOS TRABAJADORES EN LUCHA</t>
  </si>
  <si>
    <t>FUENTE: Tribunal Supremo de Elecciones, resultados presidenciales oficiales (1990.xlsx).</t>
  </si>
  <si>
    <t>FUERZA DEMOCRÁTICA</t>
  </si>
  <si>
    <t>UNIÓN GENERALEÑA</t>
  </si>
  <si>
    <t>FUENTE: Tribunal Supremo de Elecciones, resultados presidenciales oficiales (1994.xlsx).</t>
  </si>
  <si>
    <t>INTEGRACIÓN NACIONAL</t>
  </si>
  <si>
    <t>RENOVACIÓN COSTARRICENSE</t>
  </si>
  <si>
    <t>MOVIMIENTO LIBERTARIO</t>
  </si>
  <si>
    <t>PUEBLO UNIDO</t>
  </si>
  <si>
    <t>NUEVO PARTIDO DEMOCRÁTICO</t>
  </si>
  <si>
    <t>RESCATE NACIONAL</t>
  </si>
  <si>
    <t>FUENTE: Tribunal Supremo de Elecciones, resultados presidenciales oficiales (1998.xlsx).</t>
  </si>
  <si>
    <t>ACCIÓN CIUDADANA</t>
  </si>
  <si>
    <t>CAMBIO 2000</t>
  </si>
  <si>
    <t>UNIÓN GENERAL</t>
  </si>
  <si>
    <t>PATRIÓTICO NACIONAL</t>
  </si>
  <si>
    <t>INDEPENDIENTE OBRERO</t>
  </si>
  <si>
    <t>VOTOS – SEGUNDA RONDA</t>
  </si>
  <si>
    <t>FUENTE: Tribunal Supremo de Elecciones, resultados presidenciales oficiales (2002.xlsx y 2002 2da.xlsx).</t>
  </si>
  <si>
    <t>UNIÓN PARA EL CAMBIO</t>
  </si>
  <si>
    <t>PATRIA PRIMERO</t>
  </si>
  <si>
    <t>ALIANZA DEMOCRÁTICA NACIONALISTA</t>
  </si>
  <si>
    <t>COALICIÓN IZQUIERDA UNIDA</t>
  </si>
  <si>
    <t>UNIÓN PATRIÓTICA</t>
  </si>
  <si>
    <t>FUENTE: Tribunal Supremo de Elecciones, resultados presidenciales oficiales (2006.xlsx).</t>
  </si>
  <si>
    <t>ACCESIBILIDAD SIN EXCLUSIÓN</t>
  </si>
  <si>
    <t>FRENTE AMPLIO</t>
  </si>
  <si>
    <t>ALIANZA PATRIÓTICA</t>
  </si>
  <si>
    <t>FUENTE: Tribunal Supremo de Elecciones, resultados presidenciales oficiales (2010.xlsx).</t>
  </si>
  <si>
    <t>PATRIA NUEVA</t>
  </si>
  <si>
    <t>RESTAURACIÓN NACIONAL</t>
  </si>
  <si>
    <t>NUEVA GENERACIÓN</t>
  </si>
  <si>
    <t>DE LOS TRABAJADORES</t>
  </si>
  <si>
    <t>AVANCE NACIONAL</t>
  </si>
  <si>
    <t>FUENTE: Tribunal Supremo de Elecciones, resultados presidenciales oficiales (2014.xlsx y 2014 2da.xlsx).</t>
  </si>
  <si>
    <t>COBERTURA: siete provincias; se excluye el voto en el extranjero para conservar la comparabilidad con los XLSX del Atlas Electoral y con la base de diputaciones.</t>
  </si>
  <si>
    <t>REPUBLICANO SOCIAL CRISTIANO</t>
  </si>
  <si>
    <t>ALIANZA DEMÓCRATA CRISTIANA</t>
  </si>
  <si>
    <t>FUENTE: Tribunal Supremo de Elecciones, resultados presidenciales oficiales (2018.xlsx y 2018 2da.xlsx).</t>
  </si>
  <si>
    <t>PROGRESO SOCIAL DEMOCRÁTICO</t>
  </si>
  <si>
    <t>NUEVA REPÚBLICA</t>
  </si>
  <si>
    <t>LIBERAL PROGRESISTA</t>
  </si>
  <si>
    <t>COSTA RICA JUSTA</t>
  </si>
  <si>
    <t>FUERZA NACIONAL</t>
  </si>
  <si>
    <t>UNIDOS PODEMOS</t>
  </si>
  <si>
    <t>JUSTICIA SOCIAL COSTARRICENSE</t>
  </si>
  <si>
    <t>UNIÓN LIBERAL</t>
  </si>
  <si>
    <t>UNIÓN COSTARRICENSE DEMOCRÁTICA</t>
  </si>
  <si>
    <t>ENCUENTRO NACIONAL</t>
  </si>
  <si>
    <t>NUESTRO PUEBLO</t>
  </si>
  <si>
    <t>MOVIMIENTO SOCIAL DEMÓCRATA COSTARRICENSE</t>
  </si>
  <si>
    <t>FUENTE: Tribunal Supremo de Elecciones, resultados presidenciales oficiales (2022.xlsx y 2022 2da.xlsx).</t>
  </si>
  <si>
    <t>PUEBLO SOBERANO</t>
  </si>
  <si>
    <t>COALICIÓN AGENDA CIUDADANA</t>
  </si>
  <si>
    <t>AVANZA</t>
  </si>
  <si>
    <t>CENTRO DEMOCRÁTICO Y SOCIAL</t>
  </si>
  <si>
    <t>DE LA CLASE TRABAJADORA</t>
  </si>
  <si>
    <t>ESPERANZA NACIONAL</t>
  </si>
  <si>
    <t>ESPERANZA Y LIBERTAD</t>
  </si>
  <si>
    <t>ALIANZA COSTA RICA PRIMERO</t>
  </si>
  <si>
    <t>AQUÍ COSTA RICA MANDA</t>
  </si>
  <si>
    <t>FUENTE: Tribunal Supremo de Elecciones, resolución n.° 1876-E11-2026 (declaratoria presidencial) y padrón electoral definitivo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</si>
</sst>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rgb="FF000000"/>
      <name val="Carlito"/>
    </font>
    <font>
      <b/>
      <sz val="11"/>
      <color rgb="FF000000"/>
      <name val="Carlito"/>
    </font>
    <font>
      <i/>
      <sz val="11"/>
      <color rgb="FF444444"/>
      <name val="Carlito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1D1D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K17"/>
  <sheetViews>
    <sheetView topLeftCell="B1" workbookViewId="0">
      <selection activeCell="B34" sqref="B34"/>
    </sheetView>
  </sheetViews>
  <sheetFormatPr baseColWidth="10" defaultColWidth="8.83203125" defaultRowHeight="14"/>
  <cols>
    <col min="1" max="1" width="27" customWidth="1"/>
    <col min="2" max="2" width="86" customWidth="1"/>
    <col min="3" max="3" width="46" customWidth="1"/>
    <col min="4" max="9" width="20" customWidth="1"/>
    <col min="10" max="11" width="22" customWidth="1"/>
  </cols>
  <sheetData>
    <row r="5" spans="1:11" ht="28" customHeight="1">
      <c r="A5" s="8">
        <v>1953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 ht="28" customHeight="1">
      <c r="A6" s="2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</row>
    <row r="7" spans="1:11" ht="21" customHeight="1">
      <c r="A7" s="2" t="s">
        <v>11</v>
      </c>
      <c r="B7" s="4">
        <v>24623</v>
      </c>
      <c r="C7" s="4">
        <v>11692</v>
      </c>
      <c r="D7" s="4">
        <v>1013</v>
      </c>
      <c r="E7" s="4">
        <v>513</v>
      </c>
      <c r="F7" s="4">
        <v>17491</v>
      </c>
      <c r="G7" s="4">
        <f t="shared" ref="G7:G13" si="0">I7+F7</f>
        <v>55332</v>
      </c>
      <c r="H7" s="4">
        <f t="shared" ref="H7:H13" si="1">SUM(B7:C7)</f>
        <v>36315</v>
      </c>
      <c r="I7" s="4">
        <f t="shared" ref="I7:I13" si="2">H7+D7+E7</f>
        <v>37841</v>
      </c>
      <c r="J7" s="6">
        <f t="shared" ref="J7:J14" si="3">(D7+E7)/I7</f>
        <v>4.0326629845934304E-2</v>
      </c>
      <c r="K7" s="6">
        <f t="shared" ref="K7:K14" si="4">F7/G7</f>
        <v>0.3161100267476325</v>
      </c>
    </row>
    <row r="8" spans="1:11" ht="21" customHeight="1">
      <c r="A8" s="2" t="s">
        <v>12</v>
      </c>
      <c r="B8" s="4">
        <v>17724</v>
      </c>
      <c r="C8" s="4">
        <v>5904</v>
      </c>
      <c r="D8" s="4">
        <v>460</v>
      </c>
      <c r="E8" s="4">
        <v>309</v>
      </c>
      <c r="F8" s="4">
        <v>10582</v>
      </c>
      <c r="G8" s="4">
        <f t="shared" si="0"/>
        <v>34979</v>
      </c>
      <c r="H8" s="4">
        <f t="shared" si="1"/>
        <v>23628</v>
      </c>
      <c r="I8" s="4">
        <f t="shared" si="2"/>
        <v>24397</v>
      </c>
      <c r="J8" s="6">
        <f t="shared" si="3"/>
        <v>3.1520268885518711E-2</v>
      </c>
      <c r="K8" s="6">
        <f t="shared" si="4"/>
        <v>0.30252437176591668</v>
      </c>
    </row>
    <row r="9" spans="1:11" ht="21" customHeight="1">
      <c r="A9" s="2" t="s">
        <v>13</v>
      </c>
      <c r="B9" s="4">
        <v>9530</v>
      </c>
      <c r="C9" s="4">
        <v>6925</v>
      </c>
      <c r="D9" s="4">
        <v>343</v>
      </c>
      <c r="E9" s="4">
        <v>320</v>
      </c>
      <c r="F9" s="4">
        <v>9564</v>
      </c>
      <c r="G9" s="4">
        <f t="shared" si="0"/>
        <v>26682</v>
      </c>
      <c r="H9" s="4">
        <f t="shared" si="1"/>
        <v>16455</v>
      </c>
      <c r="I9" s="4">
        <f t="shared" si="2"/>
        <v>17118</v>
      </c>
      <c r="J9" s="6">
        <f t="shared" si="3"/>
        <v>3.8731160182264281E-2</v>
      </c>
      <c r="K9" s="6">
        <f t="shared" si="4"/>
        <v>0.35844389476051269</v>
      </c>
    </row>
    <row r="10" spans="1:11" ht="21" customHeight="1">
      <c r="A10" s="2" t="s">
        <v>14</v>
      </c>
      <c r="B10" s="4">
        <v>8811</v>
      </c>
      <c r="C10" s="4">
        <v>5288</v>
      </c>
      <c r="D10" s="4">
        <v>342</v>
      </c>
      <c r="E10" s="4">
        <v>164</v>
      </c>
      <c r="F10" s="4">
        <v>5052</v>
      </c>
      <c r="G10" s="4">
        <f t="shared" si="0"/>
        <v>19657</v>
      </c>
      <c r="H10" s="4">
        <f t="shared" si="1"/>
        <v>14099</v>
      </c>
      <c r="I10" s="4">
        <f t="shared" si="2"/>
        <v>14605</v>
      </c>
      <c r="J10" s="6">
        <f t="shared" si="3"/>
        <v>3.4645669291338582E-2</v>
      </c>
      <c r="K10" s="6">
        <f t="shared" si="4"/>
        <v>0.25700768174187311</v>
      </c>
    </row>
    <row r="11" spans="1:11" ht="21" customHeight="1">
      <c r="A11" s="2" t="s">
        <v>15</v>
      </c>
      <c r="B11" s="4">
        <v>3697</v>
      </c>
      <c r="C11" s="4">
        <v>3098</v>
      </c>
      <c r="D11" s="4">
        <v>187</v>
      </c>
      <c r="E11" s="4">
        <v>75</v>
      </c>
      <c r="F11" s="4">
        <v>4229</v>
      </c>
      <c r="G11" s="4">
        <f t="shared" si="0"/>
        <v>11286</v>
      </c>
      <c r="H11" s="4">
        <f t="shared" si="1"/>
        <v>6795</v>
      </c>
      <c r="I11" s="4">
        <f t="shared" si="2"/>
        <v>7057</v>
      </c>
      <c r="J11" s="6">
        <f t="shared" si="3"/>
        <v>3.7126257616550945E-2</v>
      </c>
      <c r="K11" s="6">
        <f t="shared" si="4"/>
        <v>0.37471203260676944</v>
      </c>
    </row>
    <row r="12" spans="1:11" ht="21" customHeight="1">
      <c r="A12" s="2" t="s">
        <v>16</v>
      </c>
      <c r="B12" s="4">
        <v>8407</v>
      </c>
      <c r="C12" s="4">
        <v>5991</v>
      </c>
      <c r="D12" s="4">
        <v>306</v>
      </c>
      <c r="E12" s="4">
        <v>208</v>
      </c>
      <c r="F12" s="4">
        <v>15278</v>
      </c>
      <c r="G12" s="4">
        <f t="shared" si="0"/>
        <v>30190</v>
      </c>
      <c r="H12" s="4">
        <f t="shared" si="1"/>
        <v>14398</v>
      </c>
      <c r="I12" s="4">
        <f t="shared" si="2"/>
        <v>14912</v>
      </c>
      <c r="J12" s="6">
        <f t="shared" si="3"/>
        <v>3.4468884120171676E-2</v>
      </c>
      <c r="K12" s="6">
        <f t="shared" si="4"/>
        <v>0.50606160980457104</v>
      </c>
    </row>
    <row r="13" spans="1:11" ht="21" customHeight="1">
      <c r="A13" s="2" t="s">
        <v>17</v>
      </c>
      <c r="B13" s="4">
        <v>50652</v>
      </c>
      <c r="C13" s="4">
        <v>28426</v>
      </c>
      <c r="D13" s="4">
        <v>1740</v>
      </c>
      <c r="E13" s="4">
        <v>741</v>
      </c>
      <c r="F13" s="4">
        <v>33985</v>
      </c>
      <c r="G13" s="4">
        <f t="shared" si="0"/>
        <v>115544</v>
      </c>
      <c r="H13" s="4">
        <f t="shared" si="1"/>
        <v>79078</v>
      </c>
      <c r="I13" s="4">
        <f t="shared" si="2"/>
        <v>81559</v>
      </c>
      <c r="J13" s="6">
        <f t="shared" si="3"/>
        <v>3.0419696170870168E-2</v>
      </c>
      <c r="K13" s="6">
        <f t="shared" si="4"/>
        <v>0.29413037457591912</v>
      </c>
    </row>
    <row r="14" spans="1:11" ht="21" customHeight="1">
      <c r="A14" s="2" t="s">
        <v>18</v>
      </c>
      <c r="B14" s="5">
        <f t="shared" ref="B14:I14" si="5">SUM(B7:B13)</f>
        <v>123444</v>
      </c>
      <c r="C14" s="5">
        <f t="shared" si="5"/>
        <v>67324</v>
      </c>
      <c r="D14" s="5">
        <f>SUM(D7:D13)</f>
        <v>4391</v>
      </c>
      <c r="E14" s="5">
        <f t="shared" si="5"/>
        <v>2330</v>
      </c>
      <c r="F14" s="5">
        <f t="shared" si="5"/>
        <v>96181</v>
      </c>
      <c r="G14" s="5">
        <f t="shared" si="5"/>
        <v>293670</v>
      </c>
      <c r="H14" s="5">
        <f t="shared" si="5"/>
        <v>190768</v>
      </c>
      <c r="I14" s="5">
        <f t="shared" si="5"/>
        <v>197489</v>
      </c>
      <c r="J14" s="7">
        <f t="shared" si="3"/>
        <v>3.403227521532845E-2</v>
      </c>
      <c r="K14" s="7">
        <f t="shared" si="4"/>
        <v>0.32751387611945382</v>
      </c>
    </row>
    <row r="15" spans="1:11" ht="21" customHeight="1">
      <c r="A15" s="2" t="s">
        <v>19</v>
      </c>
      <c r="B15" s="7">
        <f>B14/$H$14</f>
        <v>0.64708965864295898</v>
      </c>
      <c r="C15" s="7">
        <f>C14/$H$14</f>
        <v>0.35291034135704102</v>
      </c>
      <c r="D15" s="1"/>
      <c r="E15" s="1"/>
      <c r="F15" s="1"/>
      <c r="G15" s="1"/>
      <c r="H15" s="1"/>
      <c r="I15" s="1"/>
      <c r="J15" s="1"/>
      <c r="K15" s="1"/>
    </row>
    <row r="17" spans="1:11" ht="18" customHeight="1">
      <c r="A17" s="9" t="s">
        <v>20</v>
      </c>
      <c r="B17" s="9"/>
      <c r="C17" s="9"/>
      <c r="D17" s="9"/>
      <c r="E17" s="9"/>
      <c r="F17" s="9"/>
      <c r="G17" s="9"/>
      <c r="H17" s="9"/>
      <c r="I17" s="9"/>
      <c r="J17" s="9"/>
      <c r="K17" s="9"/>
    </row>
  </sheetData>
  <mergeCells count="2">
    <mergeCell ref="A5:K5"/>
    <mergeCell ref="A17:K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L17"/>
  <sheetViews>
    <sheetView topLeftCell="C1" workbookViewId="0"/>
  </sheetViews>
  <sheetFormatPr baseColWidth="10" defaultColWidth="8.83203125" defaultRowHeight="14"/>
  <cols>
    <col min="1" max="1" width="27" customWidth="1"/>
    <col min="2" max="2" width="66" customWidth="1"/>
    <col min="3" max="3" width="86" customWidth="1"/>
    <col min="4" max="4" width="62" customWidth="1"/>
    <col min="5" max="10" width="20" customWidth="1"/>
    <col min="11" max="12" width="22" customWidth="1"/>
  </cols>
  <sheetData>
    <row r="5" spans="1:12" ht="28" customHeight="1">
      <c r="A5" s="8">
        <v>1958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ht="28" customHeight="1">
      <c r="A6" s="2" t="s">
        <v>0</v>
      </c>
      <c r="B6" s="3" t="s">
        <v>21</v>
      </c>
      <c r="C6" s="3" t="s">
        <v>1</v>
      </c>
      <c r="D6" s="3" t="s">
        <v>22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</row>
    <row r="7" spans="1:12" ht="21" customHeight="1">
      <c r="A7" s="2" t="s">
        <v>11</v>
      </c>
      <c r="B7" s="4">
        <v>18099</v>
      </c>
      <c r="C7" s="4">
        <v>21381</v>
      </c>
      <c r="D7" s="4">
        <v>2651</v>
      </c>
      <c r="E7" s="4">
        <v>725</v>
      </c>
      <c r="F7" s="4">
        <v>888</v>
      </c>
      <c r="G7" s="4">
        <v>20468</v>
      </c>
      <c r="H7" s="4">
        <f t="shared" ref="H7:H13" si="0">J7+G7</f>
        <v>64212</v>
      </c>
      <c r="I7" s="4">
        <f t="shared" ref="I7:I13" si="1">SUM(B7:D7)</f>
        <v>42131</v>
      </c>
      <c r="J7" s="4">
        <f t="shared" ref="J7:J13" si="2">I7+E7+F7</f>
        <v>43744</v>
      </c>
      <c r="K7" s="6">
        <f t="shared" ref="K7:K14" si="3">(E7+F7)/J7</f>
        <v>3.6873628383321144E-2</v>
      </c>
      <c r="L7" s="6">
        <f t="shared" ref="L7:L14" si="4">G7/H7</f>
        <v>0.31875661870055444</v>
      </c>
    </row>
    <row r="8" spans="1:12" ht="21" customHeight="1">
      <c r="A8" s="2" t="s">
        <v>12</v>
      </c>
      <c r="B8" s="4">
        <v>9720</v>
      </c>
      <c r="C8" s="4">
        <v>10610</v>
      </c>
      <c r="D8" s="4">
        <v>5859</v>
      </c>
      <c r="E8" s="4">
        <v>464</v>
      </c>
      <c r="F8" s="4">
        <v>574</v>
      </c>
      <c r="G8" s="4">
        <v>13380</v>
      </c>
      <c r="H8" s="4">
        <f t="shared" si="0"/>
        <v>40607</v>
      </c>
      <c r="I8" s="4">
        <f t="shared" si="1"/>
        <v>26189</v>
      </c>
      <c r="J8" s="4">
        <f t="shared" si="2"/>
        <v>27227</v>
      </c>
      <c r="K8" s="6">
        <f t="shared" si="3"/>
        <v>3.8123921107723953E-2</v>
      </c>
      <c r="L8" s="6">
        <f t="shared" si="4"/>
        <v>0.32949983992907628</v>
      </c>
    </row>
    <row r="9" spans="1:12" ht="21" customHeight="1">
      <c r="A9" s="2" t="s">
        <v>13</v>
      </c>
      <c r="B9" s="4">
        <v>9020</v>
      </c>
      <c r="C9" s="4">
        <v>9400</v>
      </c>
      <c r="D9" s="4">
        <v>1707</v>
      </c>
      <c r="E9" s="4">
        <v>532</v>
      </c>
      <c r="F9" s="4">
        <v>479</v>
      </c>
      <c r="G9" s="4">
        <v>11162</v>
      </c>
      <c r="H9" s="4">
        <f t="shared" si="0"/>
        <v>32300</v>
      </c>
      <c r="I9" s="4">
        <f t="shared" si="1"/>
        <v>20127</v>
      </c>
      <c r="J9" s="4">
        <f t="shared" si="2"/>
        <v>21138</v>
      </c>
      <c r="K9" s="6">
        <f t="shared" si="3"/>
        <v>4.7828555208629012E-2</v>
      </c>
      <c r="L9" s="6">
        <f t="shared" si="4"/>
        <v>0.34557275541795668</v>
      </c>
    </row>
    <row r="10" spans="1:12" ht="21" customHeight="1">
      <c r="A10" s="2" t="s">
        <v>14</v>
      </c>
      <c r="B10" s="4">
        <v>7373</v>
      </c>
      <c r="C10" s="4">
        <v>7264</v>
      </c>
      <c r="D10" s="4">
        <v>1540</v>
      </c>
      <c r="E10" s="4">
        <v>390</v>
      </c>
      <c r="F10" s="4">
        <v>195</v>
      </c>
      <c r="G10" s="4">
        <v>7080</v>
      </c>
      <c r="H10" s="4">
        <f t="shared" si="0"/>
        <v>23842</v>
      </c>
      <c r="I10" s="4">
        <f t="shared" si="1"/>
        <v>16177</v>
      </c>
      <c r="J10" s="4">
        <f t="shared" si="2"/>
        <v>16762</v>
      </c>
      <c r="K10" s="6">
        <f t="shared" si="3"/>
        <v>3.4900369884262018E-2</v>
      </c>
      <c r="L10" s="6">
        <f t="shared" si="4"/>
        <v>0.29695495344350309</v>
      </c>
    </row>
    <row r="11" spans="1:12" ht="21" customHeight="1">
      <c r="A11" s="2" t="s">
        <v>15</v>
      </c>
      <c r="B11" s="4">
        <v>4720</v>
      </c>
      <c r="C11" s="4">
        <v>3396</v>
      </c>
      <c r="D11" s="4">
        <v>613</v>
      </c>
      <c r="E11" s="4">
        <v>127</v>
      </c>
      <c r="F11" s="4">
        <v>205</v>
      </c>
      <c r="G11" s="4">
        <v>5634</v>
      </c>
      <c r="H11" s="4">
        <f t="shared" si="0"/>
        <v>14695</v>
      </c>
      <c r="I11" s="4">
        <f t="shared" si="1"/>
        <v>8729</v>
      </c>
      <c r="J11" s="4">
        <f t="shared" si="2"/>
        <v>9061</v>
      </c>
      <c r="K11" s="6">
        <f t="shared" si="3"/>
        <v>3.6640547400949124E-2</v>
      </c>
      <c r="L11" s="6">
        <f t="shared" si="4"/>
        <v>0.38339571282749235</v>
      </c>
    </row>
    <row r="12" spans="1:12" ht="21" customHeight="1">
      <c r="A12" s="2" t="s">
        <v>16</v>
      </c>
      <c r="B12" s="4">
        <v>9545</v>
      </c>
      <c r="C12" s="4">
        <v>6906</v>
      </c>
      <c r="D12" s="4">
        <v>1159</v>
      </c>
      <c r="E12" s="4">
        <v>397</v>
      </c>
      <c r="F12" s="4">
        <v>411</v>
      </c>
      <c r="G12" s="4">
        <v>18368</v>
      </c>
      <c r="H12" s="4">
        <f t="shared" si="0"/>
        <v>36786</v>
      </c>
      <c r="I12" s="4">
        <f t="shared" si="1"/>
        <v>17610</v>
      </c>
      <c r="J12" s="4">
        <f t="shared" si="2"/>
        <v>18418</v>
      </c>
      <c r="K12" s="6">
        <f t="shared" si="3"/>
        <v>4.3870127049625368E-2</v>
      </c>
      <c r="L12" s="6">
        <f t="shared" si="4"/>
        <v>0.49932039362801067</v>
      </c>
    </row>
    <row r="13" spans="1:12" ht="21" customHeight="1">
      <c r="A13" s="2" t="s">
        <v>17</v>
      </c>
      <c r="B13" s="4">
        <v>44374</v>
      </c>
      <c r="C13" s="4">
        <v>35831</v>
      </c>
      <c r="D13" s="4">
        <v>10381</v>
      </c>
      <c r="E13" s="4">
        <v>1346</v>
      </c>
      <c r="F13" s="4">
        <v>1261</v>
      </c>
      <c r="G13" s="4">
        <v>49145</v>
      </c>
      <c r="H13" s="4">
        <f t="shared" si="0"/>
        <v>142338</v>
      </c>
      <c r="I13" s="4">
        <f t="shared" si="1"/>
        <v>90586</v>
      </c>
      <c r="J13" s="4">
        <f t="shared" si="2"/>
        <v>93193</v>
      </c>
      <c r="K13" s="6">
        <f t="shared" si="3"/>
        <v>2.7974204071121223E-2</v>
      </c>
      <c r="L13" s="6">
        <f t="shared" si="4"/>
        <v>0.34526971012660007</v>
      </c>
    </row>
    <row r="14" spans="1:12" ht="21" customHeight="1">
      <c r="A14" s="2" t="s">
        <v>18</v>
      </c>
      <c r="B14" s="5">
        <f t="shared" ref="B14:J14" si="5">SUM(B7:B13)</f>
        <v>102851</v>
      </c>
      <c r="C14" s="5">
        <f t="shared" si="5"/>
        <v>94788</v>
      </c>
      <c r="D14" s="5">
        <f t="shared" si="5"/>
        <v>23910</v>
      </c>
      <c r="E14" s="5">
        <f t="shared" si="5"/>
        <v>3981</v>
      </c>
      <c r="F14" s="5">
        <f t="shared" si="5"/>
        <v>4013</v>
      </c>
      <c r="G14" s="5">
        <f t="shared" si="5"/>
        <v>125237</v>
      </c>
      <c r="H14" s="5">
        <f t="shared" si="5"/>
        <v>354780</v>
      </c>
      <c r="I14" s="5">
        <f t="shared" si="5"/>
        <v>221549</v>
      </c>
      <c r="J14" s="5">
        <f t="shared" si="5"/>
        <v>229543</v>
      </c>
      <c r="K14" s="7">
        <f t="shared" si="3"/>
        <v>3.4825718928479632E-2</v>
      </c>
      <c r="L14" s="7">
        <f t="shared" si="4"/>
        <v>0.35299904165962004</v>
      </c>
    </row>
    <row r="15" spans="1:12" ht="21" customHeight="1">
      <c r="A15" s="2" t="s">
        <v>19</v>
      </c>
      <c r="B15" s="7">
        <f>B14/$I$14</f>
        <v>0.46423590266713005</v>
      </c>
      <c r="C15" s="7">
        <f>C14/$I$14</f>
        <v>0.42784214778671986</v>
      </c>
      <c r="D15" s="7">
        <f>D14/$I$14</f>
        <v>0.10792194954615006</v>
      </c>
      <c r="E15" s="1"/>
      <c r="F15" s="1"/>
      <c r="G15" s="1"/>
      <c r="H15" s="1"/>
      <c r="I15" s="1"/>
      <c r="J15" s="1"/>
      <c r="K15" s="1"/>
      <c r="L15" s="1"/>
    </row>
    <row r="17" spans="1:12" ht="18" customHeight="1">
      <c r="A17" s="9" t="s">
        <v>23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</sheetData>
  <mergeCells count="2">
    <mergeCell ref="A5:L5"/>
    <mergeCell ref="A17:L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M17"/>
  <sheetViews>
    <sheetView workbookViewId="0"/>
  </sheetViews>
  <sheetFormatPr baseColWidth="10" defaultColWidth="8.83203125" defaultRowHeight="14"/>
  <cols>
    <col min="1" max="1" width="27" customWidth="1"/>
    <col min="2" max="2" width="86" customWidth="1"/>
    <col min="3" max="3" width="54" customWidth="1"/>
    <col min="4" max="4" width="66" customWidth="1"/>
    <col min="5" max="5" width="114" customWidth="1"/>
    <col min="6" max="11" width="20" customWidth="1"/>
    <col min="12" max="13" width="22" customWidth="1"/>
  </cols>
  <sheetData>
    <row r="5" spans="1:13" ht="28" customHeight="1">
      <c r="A5" s="8">
        <v>1962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ht="28" customHeight="1">
      <c r="A6" s="2" t="s">
        <v>0</v>
      </c>
      <c r="B6" s="3" t="s">
        <v>1</v>
      </c>
      <c r="C6" s="3" t="s">
        <v>24</v>
      </c>
      <c r="D6" s="3" t="s">
        <v>21</v>
      </c>
      <c r="E6" s="3" t="s">
        <v>25</v>
      </c>
      <c r="F6" s="3" t="s">
        <v>3</v>
      </c>
      <c r="G6" s="3" t="s">
        <v>4</v>
      </c>
      <c r="H6" s="3" t="s">
        <v>5</v>
      </c>
      <c r="I6" s="3" t="s">
        <v>6</v>
      </c>
      <c r="J6" s="3" t="s">
        <v>7</v>
      </c>
      <c r="K6" s="3" t="s">
        <v>8</v>
      </c>
      <c r="L6" s="3" t="s">
        <v>9</v>
      </c>
      <c r="M6" s="3" t="s">
        <v>10</v>
      </c>
    </row>
    <row r="7" spans="1:13" ht="21" customHeight="1">
      <c r="A7" s="2" t="s">
        <v>11</v>
      </c>
      <c r="B7" s="4">
        <v>36821</v>
      </c>
      <c r="C7" s="4">
        <v>20937</v>
      </c>
      <c r="D7" s="4">
        <v>12836</v>
      </c>
      <c r="E7" s="4">
        <v>399</v>
      </c>
      <c r="F7" s="4">
        <v>547</v>
      </c>
      <c r="G7" s="4">
        <v>852</v>
      </c>
      <c r="H7" s="4">
        <v>13763</v>
      </c>
      <c r="I7" s="4">
        <f t="shared" ref="I7:I13" si="0">K7+H7</f>
        <v>86155</v>
      </c>
      <c r="J7" s="4">
        <f t="shared" ref="J7:J13" si="1">SUM(B7:E7)</f>
        <v>70993</v>
      </c>
      <c r="K7" s="4">
        <f t="shared" ref="K7:K13" si="2">J7+F7+G7</f>
        <v>72392</v>
      </c>
      <c r="L7" s="6">
        <f t="shared" ref="L7:L14" si="3">(F7+G7)/K7</f>
        <v>1.9325339816554314E-2</v>
      </c>
      <c r="M7" s="6">
        <f t="shared" ref="M7:M14" si="4">H7/I7</f>
        <v>0.15974696767454008</v>
      </c>
    </row>
    <row r="8" spans="1:13" ht="21" customHeight="1">
      <c r="A8" s="2" t="s">
        <v>12</v>
      </c>
      <c r="B8" s="4">
        <v>26764</v>
      </c>
      <c r="C8" s="4">
        <v>14534</v>
      </c>
      <c r="D8" s="4">
        <v>5690</v>
      </c>
      <c r="E8" s="4">
        <v>229</v>
      </c>
      <c r="F8" s="4">
        <v>344</v>
      </c>
      <c r="G8" s="4">
        <v>613</v>
      </c>
      <c r="H8" s="4">
        <v>8496</v>
      </c>
      <c r="I8" s="4">
        <f t="shared" si="0"/>
        <v>56670</v>
      </c>
      <c r="J8" s="4">
        <f t="shared" si="1"/>
        <v>47217</v>
      </c>
      <c r="K8" s="4">
        <f t="shared" si="2"/>
        <v>48174</v>
      </c>
      <c r="L8" s="6">
        <f t="shared" si="3"/>
        <v>1.9865487607423092E-2</v>
      </c>
      <c r="M8" s="6">
        <f t="shared" si="4"/>
        <v>0.14992059290629964</v>
      </c>
    </row>
    <row r="9" spans="1:13" ht="21" customHeight="1">
      <c r="A9" s="2" t="s">
        <v>13</v>
      </c>
      <c r="B9" s="4">
        <v>17962</v>
      </c>
      <c r="C9" s="4">
        <v>11018</v>
      </c>
      <c r="D9" s="4">
        <v>3881</v>
      </c>
      <c r="E9" s="4">
        <v>184</v>
      </c>
      <c r="F9" s="4">
        <v>364</v>
      </c>
      <c r="G9" s="4">
        <v>658</v>
      </c>
      <c r="H9" s="4">
        <v>9775</v>
      </c>
      <c r="I9" s="4">
        <f t="shared" si="0"/>
        <v>43842</v>
      </c>
      <c r="J9" s="4">
        <f t="shared" si="1"/>
        <v>33045</v>
      </c>
      <c r="K9" s="4">
        <f t="shared" si="2"/>
        <v>34067</v>
      </c>
      <c r="L9" s="6">
        <f t="shared" si="3"/>
        <v>2.9999706460797838E-2</v>
      </c>
      <c r="M9" s="6">
        <f t="shared" si="4"/>
        <v>0.22295971899092196</v>
      </c>
    </row>
    <row r="10" spans="1:13" ht="21" customHeight="1">
      <c r="A10" s="2" t="s">
        <v>14</v>
      </c>
      <c r="B10" s="4">
        <v>13524</v>
      </c>
      <c r="C10" s="4">
        <v>11016</v>
      </c>
      <c r="D10" s="4">
        <v>3538</v>
      </c>
      <c r="E10" s="4">
        <v>318</v>
      </c>
      <c r="F10" s="4">
        <v>214</v>
      </c>
      <c r="G10" s="4">
        <v>322</v>
      </c>
      <c r="H10" s="4">
        <v>4857</v>
      </c>
      <c r="I10" s="4">
        <f t="shared" si="0"/>
        <v>33789</v>
      </c>
      <c r="J10" s="4">
        <f t="shared" si="1"/>
        <v>28396</v>
      </c>
      <c r="K10" s="4">
        <f t="shared" si="2"/>
        <v>28932</v>
      </c>
      <c r="L10" s="6">
        <f t="shared" si="3"/>
        <v>1.8526199364025994E-2</v>
      </c>
      <c r="M10" s="6">
        <f t="shared" si="4"/>
        <v>0.14374500577110894</v>
      </c>
    </row>
    <row r="11" spans="1:13" ht="21" customHeight="1">
      <c r="A11" s="2" t="s">
        <v>15</v>
      </c>
      <c r="B11" s="4">
        <v>6801</v>
      </c>
      <c r="C11" s="4">
        <v>7060</v>
      </c>
      <c r="D11" s="4">
        <v>1107</v>
      </c>
      <c r="E11" s="4">
        <v>158</v>
      </c>
      <c r="F11" s="4">
        <v>108</v>
      </c>
      <c r="G11" s="4">
        <v>256</v>
      </c>
      <c r="H11" s="4">
        <v>5291</v>
      </c>
      <c r="I11" s="4">
        <f t="shared" si="0"/>
        <v>20781</v>
      </c>
      <c r="J11" s="4">
        <f t="shared" si="1"/>
        <v>15126</v>
      </c>
      <c r="K11" s="4">
        <f t="shared" si="2"/>
        <v>15490</v>
      </c>
      <c r="L11" s="6">
        <f t="shared" si="3"/>
        <v>2.3499031633311813E-2</v>
      </c>
      <c r="M11" s="6">
        <f t="shared" si="4"/>
        <v>0.25460757422645686</v>
      </c>
    </row>
    <row r="12" spans="1:13" ht="21" customHeight="1">
      <c r="A12" s="2" t="s">
        <v>16</v>
      </c>
      <c r="B12" s="4">
        <v>13756</v>
      </c>
      <c r="C12" s="4">
        <v>13196</v>
      </c>
      <c r="D12" s="4">
        <v>3731</v>
      </c>
      <c r="E12" s="4">
        <v>624</v>
      </c>
      <c r="F12" s="4">
        <v>300</v>
      </c>
      <c r="G12" s="4">
        <v>592</v>
      </c>
      <c r="H12" s="4">
        <v>16248</v>
      </c>
      <c r="I12" s="4">
        <f t="shared" si="0"/>
        <v>48447</v>
      </c>
      <c r="J12" s="4">
        <f t="shared" si="1"/>
        <v>31307</v>
      </c>
      <c r="K12" s="4">
        <f t="shared" si="2"/>
        <v>32199</v>
      </c>
      <c r="L12" s="6">
        <f t="shared" si="3"/>
        <v>2.7702723687071027E-2</v>
      </c>
      <c r="M12" s="6">
        <f t="shared" si="4"/>
        <v>0.33537680351724564</v>
      </c>
    </row>
    <row r="13" spans="1:13" ht="21" customHeight="1">
      <c r="A13" s="2" t="s">
        <v>17</v>
      </c>
      <c r="B13" s="4">
        <v>77222</v>
      </c>
      <c r="C13" s="4">
        <v>57772</v>
      </c>
      <c r="D13" s="4">
        <v>20957</v>
      </c>
      <c r="E13" s="4">
        <v>1427</v>
      </c>
      <c r="F13" s="4">
        <v>1047</v>
      </c>
      <c r="G13" s="4">
        <v>1727</v>
      </c>
      <c r="H13" s="4">
        <v>34144</v>
      </c>
      <c r="I13" s="4">
        <f t="shared" si="0"/>
        <v>194296</v>
      </c>
      <c r="J13" s="4">
        <f t="shared" si="1"/>
        <v>157378</v>
      </c>
      <c r="K13" s="4">
        <f t="shared" si="2"/>
        <v>160152</v>
      </c>
      <c r="L13" s="6">
        <f t="shared" si="3"/>
        <v>1.7321045007243119E-2</v>
      </c>
      <c r="M13" s="6">
        <f t="shared" si="4"/>
        <v>0.17573187301848725</v>
      </c>
    </row>
    <row r="14" spans="1:13" ht="21" customHeight="1">
      <c r="A14" s="2" t="s">
        <v>18</v>
      </c>
      <c r="B14" s="5">
        <f t="shared" ref="B14:K14" si="5">SUM(B7:B13)</f>
        <v>192850</v>
      </c>
      <c r="C14" s="5">
        <f t="shared" si="5"/>
        <v>135533</v>
      </c>
      <c r="D14" s="5">
        <f t="shared" si="5"/>
        <v>51740</v>
      </c>
      <c r="E14" s="5">
        <f t="shared" si="5"/>
        <v>3339</v>
      </c>
      <c r="F14" s="5">
        <f t="shared" si="5"/>
        <v>2924</v>
      </c>
      <c r="G14" s="5">
        <f t="shared" si="5"/>
        <v>5020</v>
      </c>
      <c r="H14" s="5">
        <f t="shared" si="5"/>
        <v>92574</v>
      </c>
      <c r="I14" s="5">
        <f t="shared" si="5"/>
        <v>483980</v>
      </c>
      <c r="J14" s="5">
        <f t="shared" si="5"/>
        <v>383462</v>
      </c>
      <c r="K14" s="5">
        <f t="shared" si="5"/>
        <v>391406</v>
      </c>
      <c r="L14" s="7">
        <f t="shared" si="3"/>
        <v>2.0296060867743469E-2</v>
      </c>
      <c r="M14" s="7">
        <f t="shared" si="4"/>
        <v>0.19127649902888549</v>
      </c>
    </row>
    <row r="15" spans="1:13" ht="21" customHeight="1">
      <c r="A15" s="2" t="s">
        <v>19</v>
      </c>
      <c r="B15" s="7">
        <f>B14/$J$14</f>
        <v>0.50291815095107206</v>
      </c>
      <c r="C15" s="7">
        <f>C14/$J$14</f>
        <v>0.35344571300415689</v>
      </c>
      <c r="D15" s="7">
        <f>D14/$J$14</f>
        <v>0.13492862395752384</v>
      </c>
      <c r="E15" s="7">
        <f>E14/$J$14</f>
        <v>8.7075120872472378E-3</v>
      </c>
      <c r="F15" s="1"/>
      <c r="G15" s="1"/>
      <c r="H15" s="1"/>
      <c r="I15" s="1"/>
      <c r="J15" s="1"/>
      <c r="K15" s="1"/>
      <c r="L15" s="1"/>
      <c r="M15" s="1"/>
    </row>
    <row r="17" spans="1:13" ht="18" customHeight="1">
      <c r="A17" s="9" t="s">
        <v>26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</sheetData>
  <mergeCells count="2">
    <mergeCell ref="A5:M5"/>
    <mergeCell ref="A17:M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5:K17"/>
  <sheetViews>
    <sheetView workbookViewId="0"/>
  </sheetViews>
  <sheetFormatPr baseColWidth="10" defaultColWidth="8.83203125" defaultRowHeight="14"/>
  <cols>
    <col min="1" max="1" width="27" customWidth="1"/>
    <col min="2" max="2" width="90" customWidth="1"/>
    <col min="3" max="3" width="86" customWidth="1"/>
    <col min="4" max="9" width="20" customWidth="1"/>
    <col min="10" max="11" width="22" customWidth="1"/>
  </cols>
  <sheetData>
    <row r="5" spans="1:11" ht="28" customHeight="1">
      <c r="A5" s="8">
        <v>1966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 ht="28" customHeight="1">
      <c r="A6" s="2" t="s">
        <v>0</v>
      </c>
      <c r="B6" s="3" t="s">
        <v>27</v>
      </c>
      <c r="C6" s="3" t="s">
        <v>1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</row>
    <row r="7" spans="1:11" ht="21" customHeight="1">
      <c r="A7" s="2" t="s">
        <v>11</v>
      </c>
      <c r="B7" s="4">
        <v>41835</v>
      </c>
      <c r="C7" s="4">
        <v>40059</v>
      </c>
      <c r="D7" s="4">
        <v>801</v>
      </c>
      <c r="E7" s="4">
        <v>1206</v>
      </c>
      <c r="F7" s="4">
        <v>14668</v>
      </c>
      <c r="G7" s="4">
        <f t="shared" ref="G7:G13" si="0">I7+F7</f>
        <v>98569</v>
      </c>
      <c r="H7" s="4">
        <f t="shared" ref="H7:H13" si="1">SUM(B7:C7)</f>
        <v>81894</v>
      </c>
      <c r="I7" s="4">
        <f t="shared" ref="I7:I13" si="2">H7+D7+E7</f>
        <v>83901</v>
      </c>
      <c r="J7" s="6">
        <f t="shared" ref="J7:J14" si="3">(D7+E7)/I7</f>
        <v>2.3921049808703115E-2</v>
      </c>
      <c r="K7" s="6">
        <f t="shared" ref="K7:K14" si="4">F7/G7</f>
        <v>0.14880946342156257</v>
      </c>
    </row>
    <row r="8" spans="1:11" ht="21" customHeight="1">
      <c r="A8" s="2" t="s">
        <v>12</v>
      </c>
      <c r="B8" s="4">
        <v>25049</v>
      </c>
      <c r="C8" s="4">
        <v>26532</v>
      </c>
      <c r="D8" s="4">
        <v>530</v>
      </c>
      <c r="E8" s="4">
        <v>842</v>
      </c>
      <c r="F8" s="4">
        <v>10984</v>
      </c>
      <c r="G8" s="4">
        <f t="shared" si="0"/>
        <v>63937</v>
      </c>
      <c r="H8" s="4">
        <f t="shared" si="1"/>
        <v>51581</v>
      </c>
      <c r="I8" s="4">
        <f t="shared" si="2"/>
        <v>52953</v>
      </c>
      <c r="J8" s="6">
        <f t="shared" si="3"/>
        <v>2.5909769040469852E-2</v>
      </c>
      <c r="K8" s="6">
        <f t="shared" si="4"/>
        <v>0.1717941098268608</v>
      </c>
    </row>
    <row r="9" spans="1:11" ht="21" customHeight="1">
      <c r="A9" s="2" t="s">
        <v>13</v>
      </c>
      <c r="B9" s="4">
        <v>20156</v>
      </c>
      <c r="C9" s="4">
        <v>21801</v>
      </c>
      <c r="D9" s="4">
        <v>485</v>
      </c>
      <c r="E9" s="4">
        <v>756</v>
      </c>
      <c r="F9" s="4">
        <v>9139</v>
      </c>
      <c r="G9" s="4">
        <f t="shared" si="0"/>
        <v>52337</v>
      </c>
      <c r="H9" s="4">
        <f t="shared" si="1"/>
        <v>41957</v>
      </c>
      <c r="I9" s="4">
        <f t="shared" si="2"/>
        <v>43198</v>
      </c>
      <c r="J9" s="6">
        <f t="shared" si="3"/>
        <v>2.8728181860271308E-2</v>
      </c>
      <c r="K9" s="6">
        <f t="shared" si="4"/>
        <v>0.17461833884250147</v>
      </c>
    </row>
    <row r="10" spans="1:11" ht="21" customHeight="1">
      <c r="A10" s="2" t="s">
        <v>14</v>
      </c>
      <c r="B10" s="4">
        <v>16950</v>
      </c>
      <c r="C10" s="4">
        <v>16167</v>
      </c>
      <c r="D10" s="4">
        <v>252</v>
      </c>
      <c r="E10" s="4">
        <v>345</v>
      </c>
      <c r="F10" s="4">
        <v>5596</v>
      </c>
      <c r="G10" s="4">
        <f t="shared" si="0"/>
        <v>39310</v>
      </c>
      <c r="H10" s="4">
        <f t="shared" si="1"/>
        <v>33117</v>
      </c>
      <c r="I10" s="4">
        <f t="shared" si="2"/>
        <v>33714</v>
      </c>
      <c r="J10" s="6">
        <f t="shared" si="3"/>
        <v>1.7707777184552412E-2</v>
      </c>
      <c r="K10" s="6">
        <f t="shared" si="4"/>
        <v>0.14235563469854998</v>
      </c>
    </row>
    <row r="11" spans="1:11" ht="21" customHeight="1">
      <c r="A11" s="2" t="s">
        <v>15</v>
      </c>
      <c r="B11" s="4">
        <v>9034</v>
      </c>
      <c r="C11" s="4">
        <v>7485</v>
      </c>
      <c r="D11" s="4">
        <v>159</v>
      </c>
      <c r="E11" s="4">
        <v>282</v>
      </c>
      <c r="F11" s="4">
        <v>7061</v>
      </c>
      <c r="G11" s="4">
        <f t="shared" si="0"/>
        <v>24021</v>
      </c>
      <c r="H11" s="4">
        <f t="shared" si="1"/>
        <v>16519</v>
      </c>
      <c r="I11" s="4">
        <f t="shared" si="2"/>
        <v>16960</v>
      </c>
      <c r="J11" s="6">
        <f t="shared" si="3"/>
        <v>2.6002358490566039E-2</v>
      </c>
      <c r="K11" s="6">
        <f t="shared" si="4"/>
        <v>0.29395112609799756</v>
      </c>
    </row>
    <row r="12" spans="1:11" ht="21" customHeight="1">
      <c r="A12" s="2" t="s">
        <v>16</v>
      </c>
      <c r="B12" s="4">
        <v>21602</v>
      </c>
      <c r="C12" s="4">
        <v>17160</v>
      </c>
      <c r="D12" s="4">
        <v>432</v>
      </c>
      <c r="E12" s="4">
        <v>687</v>
      </c>
      <c r="F12" s="4">
        <v>15540</v>
      </c>
      <c r="G12" s="4">
        <f t="shared" si="0"/>
        <v>55421</v>
      </c>
      <c r="H12" s="4">
        <f t="shared" si="1"/>
        <v>38762</v>
      </c>
      <c r="I12" s="4">
        <f t="shared" si="2"/>
        <v>39881</v>
      </c>
      <c r="J12" s="6">
        <f t="shared" si="3"/>
        <v>2.8058473960031093E-2</v>
      </c>
      <c r="K12" s="6">
        <f t="shared" si="4"/>
        <v>0.28039912668483064</v>
      </c>
    </row>
    <row r="13" spans="1:11" ht="21" customHeight="1">
      <c r="A13" s="2" t="s">
        <v>17</v>
      </c>
      <c r="B13" s="4">
        <v>88184</v>
      </c>
      <c r="C13" s="4">
        <v>89386</v>
      </c>
      <c r="D13" s="4">
        <v>1166</v>
      </c>
      <c r="E13" s="4">
        <v>2147</v>
      </c>
      <c r="F13" s="4">
        <v>40149</v>
      </c>
      <c r="G13" s="4">
        <f t="shared" si="0"/>
        <v>221032</v>
      </c>
      <c r="H13" s="4">
        <f t="shared" si="1"/>
        <v>177570</v>
      </c>
      <c r="I13" s="4">
        <f t="shared" si="2"/>
        <v>180883</v>
      </c>
      <c r="J13" s="6">
        <f t="shared" si="3"/>
        <v>1.8315706838121878E-2</v>
      </c>
      <c r="K13" s="6">
        <f t="shared" si="4"/>
        <v>0.18164338195374424</v>
      </c>
    </row>
    <row r="14" spans="1:11" ht="21" customHeight="1">
      <c r="A14" s="2" t="s">
        <v>18</v>
      </c>
      <c r="B14" s="5">
        <f t="shared" ref="B14:I14" si="5">SUM(B7:B13)</f>
        <v>222810</v>
      </c>
      <c r="C14" s="5">
        <f t="shared" si="5"/>
        <v>218590</v>
      </c>
      <c r="D14" s="5">
        <f t="shared" si="5"/>
        <v>3825</v>
      </c>
      <c r="E14" s="5">
        <f t="shared" si="5"/>
        <v>6265</v>
      </c>
      <c r="F14" s="5">
        <f t="shared" si="5"/>
        <v>103137</v>
      </c>
      <c r="G14" s="5">
        <f t="shared" si="5"/>
        <v>554627</v>
      </c>
      <c r="H14" s="5">
        <f t="shared" si="5"/>
        <v>441400</v>
      </c>
      <c r="I14" s="5">
        <f t="shared" si="5"/>
        <v>451490</v>
      </c>
      <c r="J14" s="7">
        <f t="shared" si="3"/>
        <v>2.2348224766882988E-2</v>
      </c>
      <c r="K14" s="7">
        <f t="shared" si="4"/>
        <v>0.18595740921375989</v>
      </c>
    </row>
    <row r="15" spans="1:11" ht="21" customHeight="1">
      <c r="A15" s="2" t="s">
        <v>19</v>
      </c>
      <c r="B15" s="7">
        <f>B14/$H$14</f>
        <v>0.50478024467603078</v>
      </c>
      <c r="C15" s="7">
        <f>C14/$H$14</f>
        <v>0.49521975532396917</v>
      </c>
      <c r="D15" s="1"/>
      <c r="E15" s="1"/>
      <c r="F15" s="1"/>
      <c r="G15" s="1"/>
      <c r="H15" s="1"/>
      <c r="I15" s="1"/>
      <c r="J15" s="1"/>
      <c r="K15" s="1"/>
    </row>
    <row r="17" spans="1:11" ht="18" customHeight="1">
      <c r="A17" s="9" t="s">
        <v>28</v>
      </c>
      <c r="B17" s="9"/>
      <c r="C17" s="9"/>
      <c r="D17" s="9"/>
      <c r="E17" s="9"/>
      <c r="F17" s="9"/>
      <c r="G17" s="9"/>
      <c r="H17" s="9"/>
      <c r="I17" s="9"/>
      <c r="J17" s="9"/>
      <c r="K17" s="9"/>
    </row>
  </sheetData>
  <mergeCells count="2">
    <mergeCell ref="A5:K5"/>
    <mergeCell ref="A17:K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5:N17"/>
  <sheetViews>
    <sheetView workbookViewId="0"/>
  </sheetViews>
  <sheetFormatPr baseColWidth="10" defaultColWidth="8.83203125" defaultRowHeight="14"/>
  <cols>
    <col min="1" max="1" width="27" customWidth="1"/>
    <col min="2" max="2" width="86" customWidth="1"/>
    <col min="3" max="3" width="90" customWidth="1"/>
    <col min="4" max="4" width="70" customWidth="1"/>
    <col min="5" max="5" width="78" customWidth="1"/>
    <col min="6" max="6" width="86" customWidth="1"/>
    <col min="7" max="12" width="20" customWidth="1"/>
    <col min="13" max="14" width="22" customWidth="1"/>
  </cols>
  <sheetData>
    <row r="5" spans="1:14" ht="28" customHeight="1">
      <c r="A5" s="8">
        <v>1970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ht="28" customHeight="1">
      <c r="A6" s="2" t="s">
        <v>0</v>
      </c>
      <c r="B6" s="3" t="s">
        <v>1</v>
      </c>
      <c r="C6" s="3" t="s">
        <v>27</v>
      </c>
      <c r="D6" s="3" t="s">
        <v>29</v>
      </c>
      <c r="E6" s="3" t="s">
        <v>30</v>
      </c>
      <c r="F6" s="3" t="s">
        <v>31</v>
      </c>
      <c r="G6" s="3" t="s">
        <v>3</v>
      </c>
      <c r="H6" s="3" t="s">
        <v>4</v>
      </c>
      <c r="I6" s="3" t="s">
        <v>5</v>
      </c>
      <c r="J6" s="3" t="s">
        <v>6</v>
      </c>
      <c r="K6" s="3" t="s">
        <v>7</v>
      </c>
      <c r="L6" s="3" t="s">
        <v>8</v>
      </c>
      <c r="M6" s="3" t="s">
        <v>9</v>
      </c>
      <c r="N6" s="3" t="s">
        <v>10</v>
      </c>
    </row>
    <row r="7" spans="1:14" ht="21" customHeight="1">
      <c r="A7" s="2" t="s">
        <v>11</v>
      </c>
      <c r="B7" s="4">
        <v>53141</v>
      </c>
      <c r="C7" s="4">
        <v>41062</v>
      </c>
      <c r="D7" s="4">
        <v>1992</v>
      </c>
      <c r="E7" s="4">
        <v>649</v>
      </c>
      <c r="F7" s="4">
        <v>560</v>
      </c>
      <c r="G7" s="4">
        <v>919</v>
      </c>
      <c r="H7" s="4">
        <v>2771</v>
      </c>
      <c r="I7" s="4">
        <v>16458</v>
      </c>
      <c r="J7" s="4">
        <f t="shared" ref="J7:J13" si="0">L7+I7</f>
        <v>117552</v>
      </c>
      <c r="K7" s="4">
        <f t="shared" ref="K7:K13" si="1">SUM(B7:F7)</f>
        <v>97404</v>
      </c>
      <c r="L7" s="4">
        <f t="shared" ref="L7:L13" si="2">K7+G7+H7</f>
        <v>101094</v>
      </c>
      <c r="M7" s="6">
        <f t="shared" ref="M7:M14" si="3">(G7+H7)/L7</f>
        <v>3.6500682533088018E-2</v>
      </c>
      <c r="N7" s="6">
        <f t="shared" ref="N7:N14" si="4">I7/J7</f>
        <v>0.14000612494895875</v>
      </c>
    </row>
    <row r="8" spans="1:14" ht="21" customHeight="1">
      <c r="A8" s="2" t="s">
        <v>12</v>
      </c>
      <c r="B8" s="4">
        <v>36908</v>
      </c>
      <c r="C8" s="4">
        <v>23065</v>
      </c>
      <c r="D8" s="4">
        <v>938</v>
      </c>
      <c r="E8" s="4">
        <v>552</v>
      </c>
      <c r="F8" s="4">
        <v>512</v>
      </c>
      <c r="G8" s="4">
        <v>573</v>
      </c>
      <c r="H8" s="4">
        <v>2355</v>
      </c>
      <c r="I8" s="4">
        <v>10555</v>
      </c>
      <c r="J8" s="4">
        <f t="shared" si="0"/>
        <v>75458</v>
      </c>
      <c r="K8" s="4">
        <f t="shared" si="1"/>
        <v>61975</v>
      </c>
      <c r="L8" s="4">
        <f t="shared" si="2"/>
        <v>64903</v>
      </c>
      <c r="M8" s="6">
        <f t="shared" si="3"/>
        <v>4.511347703495986E-2</v>
      </c>
      <c r="N8" s="6">
        <f t="shared" si="4"/>
        <v>0.13987913806355853</v>
      </c>
    </row>
    <row r="9" spans="1:14" ht="21" customHeight="1">
      <c r="A9" s="2" t="s">
        <v>13</v>
      </c>
      <c r="B9" s="4">
        <v>28513</v>
      </c>
      <c r="C9" s="4">
        <v>20259</v>
      </c>
      <c r="D9" s="4">
        <v>697</v>
      </c>
      <c r="E9" s="4">
        <v>330</v>
      </c>
      <c r="F9" s="4">
        <v>196</v>
      </c>
      <c r="G9" s="4">
        <v>446</v>
      </c>
      <c r="H9" s="4">
        <v>1921</v>
      </c>
      <c r="I9" s="4">
        <v>10225</v>
      </c>
      <c r="J9" s="4">
        <f t="shared" si="0"/>
        <v>62587</v>
      </c>
      <c r="K9" s="4">
        <f t="shared" si="1"/>
        <v>49995</v>
      </c>
      <c r="L9" s="4">
        <f t="shared" si="2"/>
        <v>52362</v>
      </c>
      <c r="M9" s="6">
        <f t="shared" si="3"/>
        <v>4.520453764180131E-2</v>
      </c>
      <c r="N9" s="6">
        <f t="shared" si="4"/>
        <v>0.16337258536117724</v>
      </c>
    </row>
    <row r="10" spans="1:14" ht="21" customHeight="1">
      <c r="A10" s="2" t="s">
        <v>14</v>
      </c>
      <c r="B10" s="4">
        <v>20558</v>
      </c>
      <c r="C10" s="4">
        <v>16840</v>
      </c>
      <c r="D10" s="4">
        <v>789</v>
      </c>
      <c r="E10" s="4">
        <v>501</v>
      </c>
      <c r="F10" s="4">
        <v>603</v>
      </c>
      <c r="G10" s="4">
        <v>361</v>
      </c>
      <c r="H10" s="4">
        <v>994</v>
      </c>
      <c r="I10" s="4">
        <v>6261</v>
      </c>
      <c r="J10" s="4">
        <f t="shared" si="0"/>
        <v>46907</v>
      </c>
      <c r="K10" s="4">
        <f t="shared" si="1"/>
        <v>39291</v>
      </c>
      <c r="L10" s="4">
        <f t="shared" si="2"/>
        <v>40646</v>
      </c>
      <c r="M10" s="6">
        <f t="shared" si="3"/>
        <v>3.3336613688923877E-2</v>
      </c>
      <c r="N10" s="6">
        <f t="shared" si="4"/>
        <v>0.1334768797834012</v>
      </c>
    </row>
    <row r="11" spans="1:14" ht="21" customHeight="1">
      <c r="A11" s="2" t="s">
        <v>15</v>
      </c>
      <c r="B11" s="4">
        <v>10206</v>
      </c>
      <c r="C11" s="4">
        <v>10074</v>
      </c>
      <c r="D11" s="4">
        <v>371</v>
      </c>
      <c r="E11" s="4">
        <v>506</v>
      </c>
      <c r="F11" s="4">
        <v>64</v>
      </c>
      <c r="G11" s="4">
        <v>240</v>
      </c>
      <c r="H11" s="4">
        <v>1354</v>
      </c>
      <c r="I11" s="4">
        <v>9064</v>
      </c>
      <c r="J11" s="4">
        <f t="shared" si="0"/>
        <v>31879</v>
      </c>
      <c r="K11" s="4">
        <f t="shared" si="1"/>
        <v>21221</v>
      </c>
      <c r="L11" s="4">
        <f t="shared" si="2"/>
        <v>22815</v>
      </c>
      <c r="M11" s="6">
        <f t="shared" si="3"/>
        <v>6.9866316020162175E-2</v>
      </c>
      <c r="N11" s="6">
        <f t="shared" si="4"/>
        <v>0.28432510430063679</v>
      </c>
    </row>
    <row r="12" spans="1:14" ht="21" customHeight="1">
      <c r="A12" s="2" t="s">
        <v>16</v>
      </c>
      <c r="B12" s="4">
        <v>25272</v>
      </c>
      <c r="C12" s="4">
        <v>22428</v>
      </c>
      <c r="D12" s="4">
        <v>876</v>
      </c>
      <c r="E12" s="4">
        <v>1219</v>
      </c>
      <c r="F12" s="4">
        <v>199</v>
      </c>
      <c r="G12" s="4">
        <v>510</v>
      </c>
      <c r="H12" s="4">
        <v>2421</v>
      </c>
      <c r="I12" s="4">
        <v>15960</v>
      </c>
      <c r="J12" s="4">
        <f t="shared" si="0"/>
        <v>68885</v>
      </c>
      <c r="K12" s="4">
        <f t="shared" si="1"/>
        <v>49994</v>
      </c>
      <c r="L12" s="4">
        <f t="shared" si="2"/>
        <v>52925</v>
      </c>
      <c r="M12" s="6">
        <f t="shared" si="3"/>
        <v>5.5380255077940484E-2</v>
      </c>
      <c r="N12" s="6">
        <f t="shared" si="4"/>
        <v>0.23169049865718225</v>
      </c>
    </row>
    <row r="13" spans="1:14" ht="21" customHeight="1">
      <c r="A13" s="2" t="s">
        <v>17</v>
      </c>
      <c r="B13" s="4">
        <v>121285</v>
      </c>
      <c r="C13" s="4">
        <v>88644</v>
      </c>
      <c r="D13" s="4">
        <v>3891</v>
      </c>
      <c r="E13" s="4">
        <v>3464</v>
      </c>
      <c r="F13" s="4">
        <v>2881</v>
      </c>
      <c r="G13" s="4">
        <v>1519</v>
      </c>
      <c r="H13" s="4">
        <v>6337</v>
      </c>
      <c r="I13" s="4">
        <v>43996</v>
      </c>
      <c r="J13" s="4">
        <f t="shared" si="0"/>
        <v>272017</v>
      </c>
      <c r="K13" s="4">
        <f t="shared" si="1"/>
        <v>220165</v>
      </c>
      <c r="L13" s="4">
        <f t="shared" si="2"/>
        <v>228021</v>
      </c>
      <c r="M13" s="6">
        <f t="shared" si="3"/>
        <v>3.4452967051280363E-2</v>
      </c>
      <c r="N13" s="6">
        <f t="shared" si="4"/>
        <v>0.16173989125679644</v>
      </c>
    </row>
    <row r="14" spans="1:14" ht="21" customHeight="1">
      <c r="A14" s="2" t="s">
        <v>18</v>
      </c>
      <c r="B14" s="5">
        <f t="shared" ref="B14:L14" si="5">SUM(B7:B13)</f>
        <v>295883</v>
      </c>
      <c r="C14" s="5">
        <f t="shared" si="5"/>
        <v>222372</v>
      </c>
      <c r="D14" s="5">
        <f t="shared" si="5"/>
        <v>9554</v>
      </c>
      <c r="E14" s="5">
        <f t="shared" si="5"/>
        <v>7221</v>
      </c>
      <c r="F14" s="5">
        <f t="shared" si="5"/>
        <v>5015</v>
      </c>
      <c r="G14" s="5">
        <f t="shared" si="5"/>
        <v>4568</v>
      </c>
      <c r="H14" s="5">
        <f t="shared" si="5"/>
        <v>18153</v>
      </c>
      <c r="I14" s="5">
        <f t="shared" si="5"/>
        <v>112519</v>
      </c>
      <c r="J14" s="5">
        <f t="shared" si="5"/>
        <v>675285</v>
      </c>
      <c r="K14" s="5">
        <f t="shared" si="5"/>
        <v>540045</v>
      </c>
      <c r="L14" s="5">
        <f t="shared" si="5"/>
        <v>562766</v>
      </c>
      <c r="M14" s="7">
        <f t="shared" si="3"/>
        <v>4.0373796569089106E-2</v>
      </c>
      <c r="N14" s="7">
        <f t="shared" si="4"/>
        <v>0.16662446226408109</v>
      </c>
    </row>
    <row r="15" spans="1:14" ht="21" customHeight="1">
      <c r="A15" s="2" t="s">
        <v>19</v>
      </c>
      <c r="B15" s="7">
        <f>B14/$K$14</f>
        <v>0.54788582432945399</v>
      </c>
      <c r="C15" s="7">
        <f>C14/$K$14</f>
        <v>0.41176568619281728</v>
      </c>
      <c r="D15" s="7">
        <f>D14/$K$14</f>
        <v>1.7691118332731532E-2</v>
      </c>
      <c r="E15" s="7">
        <f>E14/$K$14</f>
        <v>1.3371107963225286E-2</v>
      </c>
      <c r="F15" s="7">
        <f>F14/$K$14</f>
        <v>9.2862631817718887E-3</v>
      </c>
      <c r="G15" s="1"/>
      <c r="H15" s="1"/>
      <c r="I15" s="1"/>
      <c r="J15" s="1"/>
      <c r="K15" s="1"/>
      <c r="L15" s="1"/>
      <c r="M15" s="1"/>
      <c r="N15" s="1"/>
    </row>
    <row r="17" spans="1:14" ht="18" customHeight="1">
      <c r="A17" s="9" t="s">
        <v>32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</sheetData>
  <mergeCells count="2">
    <mergeCell ref="A5:N5"/>
    <mergeCell ref="A17:N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5:Q17"/>
  <sheetViews>
    <sheetView workbookViewId="0"/>
  </sheetViews>
  <sheetFormatPr baseColWidth="10" defaultColWidth="8.83203125" defaultRowHeight="14"/>
  <cols>
    <col min="1" max="1" width="27" customWidth="1"/>
    <col min="2" max="2" width="86" customWidth="1"/>
    <col min="3" max="3" width="90" customWidth="1"/>
    <col min="4" max="5" width="98" customWidth="1"/>
    <col min="6" max="6" width="46" customWidth="1"/>
    <col min="7" max="7" width="78" customWidth="1"/>
    <col min="8" max="8" width="86" customWidth="1"/>
    <col min="9" max="9" width="106" customWidth="1"/>
    <col min="10" max="15" width="20" customWidth="1"/>
    <col min="16" max="17" width="22" customWidth="1"/>
  </cols>
  <sheetData>
    <row r="5" spans="1:17" ht="28" customHeight="1">
      <c r="A5" s="8">
        <v>1974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ht="28" customHeight="1">
      <c r="A6" s="2" t="s">
        <v>0</v>
      </c>
      <c r="B6" s="3" t="s">
        <v>1</v>
      </c>
      <c r="C6" s="3" t="s">
        <v>27</v>
      </c>
      <c r="D6" s="3" t="s">
        <v>33</v>
      </c>
      <c r="E6" s="3" t="s">
        <v>34</v>
      </c>
      <c r="F6" s="3" t="s">
        <v>2</v>
      </c>
      <c r="G6" s="3" t="s">
        <v>30</v>
      </c>
      <c r="H6" s="3" t="s">
        <v>31</v>
      </c>
      <c r="I6" s="3" t="s">
        <v>35</v>
      </c>
      <c r="J6" s="3" t="s">
        <v>3</v>
      </c>
      <c r="K6" s="3" t="s">
        <v>4</v>
      </c>
      <c r="L6" s="3" t="s">
        <v>5</v>
      </c>
      <c r="M6" s="3" t="s">
        <v>6</v>
      </c>
      <c r="N6" s="3" t="s">
        <v>7</v>
      </c>
      <c r="O6" s="3" t="s">
        <v>8</v>
      </c>
      <c r="P6" s="3" t="s">
        <v>9</v>
      </c>
      <c r="Q6" s="3" t="s">
        <v>10</v>
      </c>
    </row>
    <row r="7" spans="1:17" ht="21" customHeight="1">
      <c r="A7" s="2" t="s">
        <v>11</v>
      </c>
      <c r="B7" s="4">
        <v>54385</v>
      </c>
      <c r="C7" s="4">
        <v>33847</v>
      </c>
      <c r="D7" s="4">
        <v>14953</v>
      </c>
      <c r="E7" s="4">
        <v>11657</v>
      </c>
      <c r="F7" s="4">
        <v>2014</v>
      </c>
      <c r="G7" s="4">
        <v>1352</v>
      </c>
      <c r="H7" s="4">
        <v>418</v>
      </c>
      <c r="I7" s="4">
        <v>596</v>
      </c>
      <c r="J7" s="4">
        <v>992</v>
      </c>
      <c r="K7" s="4">
        <v>2703</v>
      </c>
      <c r="L7" s="4">
        <v>26688</v>
      </c>
      <c r="M7" s="4">
        <f t="shared" ref="M7:M13" si="0">O7+L7</f>
        <v>149605</v>
      </c>
      <c r="N7" s="4">
        <f t="shared" ref="N7:N13" si="1">SUM(B7:I7)</f>
        <v>119222</v>
      </c>
      <c r="O7" s="4">
        <f t="shared" ref="O7:O13" si="2">N7+J7+K7</f>
        <v>122917</v>
      </c>
      <c r="P7" s="6">
        <f t="shared" ref="P7:P14" si="3">(J7+K7)/O7</f>
        <v>3.0060935427971721E-2</v>
      </c>
      <c r="Q7" s="6">
        <f t="shared" ref="Q7:Q14" si="4">L7/M7</f>
        <v>0.17838975970054477</v>
      </c>
    </row>
    <row r="8" spans="1:17" ht="21" customHeight="1">
      <c r="A8" s="2" t="s">
        <v>12</v>
      </c>
      <c r="B8" s="4">
        <v>32652</v>
      </c>
      <c r="C8" s="4">
        <v>21965</v>
      </c>
      <c r="D8" s="4">
        <v>11873</v>
      </c>
      <c r="E8" s="4">
        <v>4380</v>
      </c>
      <c r="F8" s="4">
        <v>2027</v>
      </c>
      <c r="G8" s="4">
        <v>1114</v>
      </c>
      <c r="H8" s="4">
        <v>468</v>
      </c>
      <c r="I8" s="4">
        <v>352</v>
      </c>
      <c r="J8" s="4">
        <v>591</v>
      </c>
      <c r="K8" s="4">
        <v>2024</v>
      </c>
      <c r="L8" s="4">
        <v>16282</v>
      </c>
      <c r="M8" s="4">
        <f t="shared" si="0"/>
        <v>93728</v>
      </c>
      <c r="N8" s="4">
        <f t="shared" si="1"/>
        <v>74831</v>
      </c>
      <c r="O8" s="4">
        <f t="shared" si="2"/>
        <v>77446</v>
      </c>
      <c r="P8" s="6">
        <f t="shared" si="3"/>
        <v>3.3765462386695248E-2</v>
      </c>
      <c r="Q8" s="6">
        <f t="shared" si="4"/>
        <v>0.17371543188801639</v>
      </c>
    </row>
    <row r="9" spans="1:17" ht="21" customHeight="1">
      <c r="A9" s="2" t="s">
        <v>13</v>
      </c>
      <c r="B9" s="4">
        <v>29390</v>
      </c>
      <c r="C9" s="4">
        <v>17777</v>
      </c>
      <c r="D9" s="4">
        <v>6826</v>
      </c>
      <c r="E9" s="4">
        <v>2877</v>
      </c>
      <c r="F9" s="4">
        <v>450</v>
      </c>
      <c r="G9" s="4">
        <v>1168</v>
      </c>
      <c r="H9" s="4">
        <v>463</v>
      </c>
      <c r="I9" s="4">
        <v>322</v>
      </c>
      <c r="J9" s="4">
        <v>713</v>
      </c>
      <c r="K9" s="4">
        <v>2610</v>
      </c>
      <c r="L9" s="4">
        <v>14001</v>
      </c>
      <c r="M9" s="4">
        <f t="shared" si="0"/>
        <v>76597</v>
      </c>
      <c r="N9" s="4">
        <f t="shared" si="1"/>
        <v>59273</v>
      </c>
      <c r="O9" s="4">
        <f t="shared" si="2"/>
        <v>62596</v>
      </c>
      <c r="P9" s="6">
        <f t="shared" si="3"/>
        <v>5.3086459198670839E-2</v>
      </c>
      <c r="Q9" s="6">
        <f t="shared" si="4"/>
        <v>0.18278783764377196</v>
      </c>
    </row>
    <row r="10" spans="1:17" ht="21" customHeight="1">
      <c r="A10" s="2" t="s">
        <v>14</v>
      </c>
      <c r="B10" s="4">
        <v>22055</v>
      </c>
      <c r="C10" s="4">
        <v>15334</v>
      </c>
      <c r="D10" s="4">
        <v>5671</v>
      </c>
      <c r="E10" s="4">
        <v>4880</v>
      </c>
      <c r="F10" s="4">
        <v>1561</v>
      </c>
      <c r="G10" s="4">
        <v>1285</v>
      </c>
      <c r="H10" s="4">
        <v>371</v>
      </c>
      <c r="I10" s="4">
        <v>202</v>
      </c>
      <c r="J10" s="4">
        <v>363</v>
      </c>
      <c r="K10" s="4">
        <v>839</v>
      </c>
      <c r="L10" s="4">
        <v>11860</v>
      </c>
      <c r="M10" s="4">
        <f t="shared" si="0"/>
        <v>64421</v>
      </c>
      <c r="N10" s="4">
        <f t="shared" si="1"/>
        <v>51359</v>
      </c>
      <c r="O10" s="4">
        <f t="shared" si="2"/>
        <v>52561</v>
      </c>
      <c r="P10" s="6">
        <f t="shared" si="3"/>
        <v>2.2868666882289151E-2</v>
      </c>
      <c r="Q10" s="6">
        <f t="shared" si="4"/>
        <v>0.18410145759923008</v>
      </c>
    </row>
    <row r="11" spans="1:17" ht="21" customHeight="1">
      <c r="A11" s="2" t="s">
        <v>15</v>
      </c>
      <c r="B11" s="4">
        <v>12168</v>
      </c>
      <c r="C11" s="4">
        <v>12368</v>
      </c>
      <c r="D11" s="4">
        <v>2430</v>
      </c>
      <c r="E11" s="4">
        <v>1077</v>
      </c>
      <c r="F11" s="4">
        <v>753</v>
      </c>
      <c r="G11" s="4">
        <v>2232</v>
      </c>
      <c r="H11" s="4">
        <v>154</v>
      </c>
      <c r="I11" s="4">
        <v>176</v>
      </c>
      <c r="J11" s="4">
        <v>340</v>
      </c>
      <c r="K11" s="4">
        <v>1150</v>
      </c>
      <c r="L11" s="4">
        <v>14281</v>
      </c>
      <c r="M11" s="4">
        <f t="shared" si="0"/>
        <v>47129</v>
      </c>
      <c r="N11" s="4">
        <f t="shared" si="1"/>
        <v>31358</v>
      </c>
      <c r="O11" s="4">
        <f t="shared" si="2"/>
        <v>32848</v>
      </c>
      <c r="P11" s="6">
        <f t="shared" si="3"/>
        <v>4.5360448124695564E-2</v>
      </c>
      <c r="Q11" s="6">
        <f t="shared" si="4"/>
        <v>0.30301937236096671</v>
      </c>
    </row>
    <row r="12" spans="1:17" ht="21" customHeight="1">
      <c r="A12" s="2" t="s">
        <v>16</v>
      </c>
      <c r="B12" s="4">
        <v>24737</v>
      </c>
      <c r="C12" s="4">
        <v>22726</v>
      </c>
      <c r="D12" s="4">
        <v>6913</v>
      </c>
      <c r="E12" s="4">
        <v>2822</v>
      </c>
      <c r="F12" s="4">
        <v>1394</v>
      </c>
      <c r="G12" s="4">
        <v>3443</v>
      </c>
      <c r="H12" s="4">
        <v>323</v>
      </c>
      <c r="I12" s="4">
        <v>302</v>
      </c>
      <c r="J12" s="4">
        <v>614</v>
      </c>
      <c r="K12" s="4">
        <v>2140</v>
      </c>
      <c r="L12" s="4">
        <v>23082</v>
      </c>
      <c r="M12" s="4">
        <f t="shared" si="0"/>
        <v>88496</v>
      </c>
      <c r="N12" s="4">
        <f t="shared" si="1"/>
        <v>62660</v>
      </c>
      <c r="O12" s="4">
        <f t="shared" si="2"/>
        <v>65414</v>
      </c>
      <c r="P12" s="6">
        <f t="shared" si="3"/>
        <v>4.2101079279664902E-2</v>
      </c>
      <c r="Q12" s="6">
        <f t="shared" si="4"/>
        <v>0.26082534803832941</v>
      </c>
    </row>
    <row r="13" spans="1:17" ht="21" customHeight="1">
      <c r="A13" s="2" t="s">
        <v>17</v>
      </c>
      <c r="B13" s="4">
        <v>119222</v>
      </c>
      <c r="C13" s="4">
        <v>82132</v>
      </c>
      <c r="D13" s="4">
        <v>25122</v>
      </c>
      <c r="E13" s="4">
        <v>34127</v>
      </c>
      <c r="F13" s="4">
        <v>10633</v>
      </c>
      <c r="G13" s="4">
        <v>5487</v>
      </c>
      <c r="H13" s="4">
        <v>1264</v>
      </c>
      <c r="I13" s="4">
        <v>1467</v>
      </c>
      <c r="J13" s="4">
        <v>1410</v>
      </c>
      <c r="K13" s="4">
        <v>4694</v>
      </c>
      <c r="L13" s="4">
        <v>69509</v>
      </c>
      <c r="M13" s="4">
        <f t="shared" si="0"/>
        <v>355067</v>
      </c>
      <c r="N13" s="4">
        <f t="shared" si="1"/>
        <v>279454</v>
      </c>
      <c r="O13" s="4">
        <f t="shared" si="2"/>
        <v>285558</v>
      </c>
      <c r="P13" s="6">
        <f t="shared" si="3"/>
        <v>2.1375692503799577E-2</v>
      </c>
      <c r="Q13" s="6">
        <f t="shared" si="4"/>
        <v>0.19576305317024675</v>
      </c>
    </row>
    <row r="14" spans="1:17" ht="21" customHeight="1">
      <c r="A14" s="2" t="s">
        <v>18</v>
      </c>
      <c r="B14" s="5">
        <f t="shared" ref="B14:O14" si="5">SUM(B7:B13)</f>
        <v>294609</v>
      </c>
      <c r="C14" s="5">
        <f t="shared" si="5"/>
        <v>206149</v>
      </c>
      <c r="D14" s="5">
        <f t="shared" si="5"/>
        <v>73788</v>
      </c>
      <c r="E14" s="5">
        <f t="shared" si="5"/>
        <v>61820</v>
      </c>
      <c r="F14" s="5">
        <f t="shared" si="5"/>
        <v>18832</v>
      </c>
      <c r="G14" s="5">
        <f t="shared" si="5"/>
        <v>16081</v>
      </c>
      <c r="H14" s="5">
        <f t="shared" si="5"/>
        <v>3461</v>
      </c>
      <c r="I14" s="5">
        <f t="shared" si="5"/>
        <v>3417</v>
      </c>
      <c r="J14" s="5">
        <f t="shared" si="5"/>
        <v>5023</v>
      </c>
      <c r="K14" s="5">
        <f t="shared" si="5"/>
        <v>16160</v>
      </c>
      <c r="L14" s="5">
        <f t="shared" si="5"/>
        <v>175703</v>
      </c>
      <c r="M14" s="5">
        <f t="shared" si="5"/>
        <v>875043</v>
      </c>
      <c r="N14" s="5">
        <f t="shared" si="5"/>
        <v>678157</v>
      </c>
      <c r="O14" s="5">
        <f t="shared" si="5"/>
        <v>699340</v>
      </c>
      <c r="P14" s="7">
        <f t="shared" si="3"/>
        <v>3.0289987702691108E-2</v>
      </c>
      <c r="Q14" s="7">
        <f t="shared" si="4"/>
        <v>0.20079356100214504</v>
      </c>
    </row>
    <row r="15" spans="1:17" ht="21" customHeight="1">
      <c r="A15" s="2" t="s">
        <v>19</v>
      </c>
      <c r="B15" s="7">
        <f t="shared" ref="B15:I15" si="6">B14/$N$14</f>
        <v>0.4344259515127028</v>
      </c>
      <c r="C15" s="7">
        <f t="shared" si="6"/>
        <v>0.30398418065433225</v>
      </c>
      <c r="D15" s="7">
        <f t="shared" si="6"/>
        <v>0.10880666276393225</v>
      </c>
      <c r="E15" s="7">
        <f t="shared" si="6"/>
        <v>9.1158831951893143E-2</v>
      </c>
      <c r="F15" s="7">
        <f t="shared" si="6"/>
        <v>2.7769380836590935E-2</v>
      </c>
      <c r="G15" s="7">
        <f t="shared" si="6"/>
        <v>2.3712798068883753E-2</v>
      </c>
      <c r="H15" s="7">
        <f t="shared" si="6"/>
        <v>5.1035379712957322E-3</v>
      </c>
      <c r="I15" s="7">
        <f t="shared" si="6"/>
        <v>5.0386562403691177E-3</v>
      </c>
      <c r="J15" s="1"/>
      <c r="K15" s="1"/>
      <c r="L15" s="1"/>
      <c r="M15" s="1"/>
      <c r="N15" s="1"/>
      <c r="O15" s="1"/>
      <c r="P15" s="1"/>
      <c r="Q15" s="1"/>
    </row>
    <row r="17" spans="1:17" ht="18" customHeight="1">
      <c r="A17" s="9" t="s">
        <v>36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</sheetData>
  <mergeCells count="2">
    <mergeCell ref="A5:Q5"/>
    <mergeCell ref="A17:Q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5:Q17"/>
  <sheetViews>
    <sheetView workbookViewId="0"/>
  </sheetViews>
  <sheetFormatPr baseColWidth="10" defaultColWidth="8.83203125" defaultRowHeight="14"/>
  <cols>
    <col min="1" max="1" width="27" customWidth="1"/>
    <col min="2" max="2" width="74" customWidth="1"/>
    <col min="3" max="3" width="86" customWidth="1"/>
    <col min="4" max="4" width="98" customWidth="1"/>
    <col min="5" max="5" width="90" customWidth="1"/>
    <col min="6" max="6" width="62" customWidth="1"/>
    <col min="7" max="7" width="98" customWidth="1"/>
    <col min="8" max="8" width="180" customWidth="1"/>
    <col min="9" max="9" width="46" customWidth="1"/>
    <col min="10" max="15" width="20" customWidth="1"/>
    <col min="16" max="17" width="22" customWidth="1"/>
  </cols>
  <sheetData>
    <row r="5" spans="1:17" ht="28" customHeight="1">
      <c r="A5" s="8">
        <v>1978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ht="28" customHeight="1">
      <c r="A6" s="2" t="s">
        <v>0</v>
      </c>
      <c r="B6" s="3" t="s">
        <v>37</v>
      </c>
      <c r="C6" s="3" t="s">
        <v>1</v>
      </c>
      <c r="D6" s="3" t="s">
        <v>38</v>
      </c>
      <c r="E6" s="3" t="s">
        <v>27</v>
      </c>
      <c r="F6" s="3" t="s">
        <v>22</v>
      </c>
      <c r="G6" s="3" t="s">
        <v>33</v>
      </c>
      <c r="H6" s="3" t="s">
        <v>39</v>
      </c>
      <c r="I6" s="3" t="s">
        <v>2</v>
      </c>
      <c r="J6" s="3" t="s">
        <v>3</v>
      </c>
      <c r="K6" s="3" t="s">
        <v>4</v>
      </c>
      <c r="L6" s="3" t="s">
        <v>5</v>
      </c>
      <c r="M6" s="3" t="s">
        <v>6</v>
      </c>
      <c r="N6" s="3" t="s">
        <v>7</v>
      </c>
      <c r="O6" s="3" t="s">
        <v>8</v>
      </c>
      <c r="P6" s="3" t="s">
        <v>9</v>
      </c>
      <c r="Q6" s="3" t="s">
        <v>10</v>
      </c>
    </row>
    <row r="7" spans="1:17" ht="21" customHeight="1">
      <c r="A7" s="2" t="s">
        <v>11</v>
      </c>
      <c r="B7" s="4">
        <v>75074</v>
      </c>
      <c r="C7" s="4">
        <v>67708</v>
      </c>
      <c r="D7" s="4">
        <v>2316</v>
      </c>
      <c r="E7" s="4">
        <v>1724</v>
      </c>
      <c r="F7" s="4">
        <v>547</v>
      </c>
      <c r="G7" s="4">
        <v>436</v>
      </c>
      <c r="H7" s="4">
        <v>216</v>
      </c>
      <c r="I7" s="4">
        <v>217</v>
      </c>
      <c r="J7" s="4">
        <v>1025</v>
      </c>
      <c r="K7" s="4">
        <v>3493</v>
      </c>
      <c r="L7" s="4">
        <v>27432</v>
      </c>
      <c r="M7" s="4">
        <f t="shared" ref="M7:M13" si="0">O7+L7</f>
        <v>180188</v>
      </c>
      <c r="N7" s="4">
        <f t="shared" ref="N7:N13" si="1">SUM(B7:I7)</f>
        <v>148238</v>
      </c>
      <c r="O7" s="4">
        <f t="shared" ref="O7:O13" si="2">N7+J7+K7</f>
        <v>152756</v>
      </c>
      <c r="P7" s="6">
        <f t="shared" ref="P7:P14" si="3">(J7+K7)/O7</f>
        <v>2.9576579643352797E-2</v>
      </c>
      <c r="Q7" s="6">
        <f t="shared" ref="Q7:Q14" si="4">L7/M7</f>
        <v>0.15224099274091504</v>
      </c>
    </row>
    <row r="8" spans="1:17" ht="21" customHeight="1">
      <c r="A8" s="2" t="s">
        <v>12</v>
      </c>
      <c r="B8" s="4">
        <v>41772</v>
      </c>
      <c r="C8" s="4">
        <v>41933</v>
      </c>
      <c r="D8" s="4">
        <v>1797</v>
      </c>
      <c r="E8" s="4">
        <v>1654</v>
      </c>
      <c r="F8" s="4">
        <v>542</v>
      </c>
      <c r="G8" s="4">
        <v>489</v>
      </c>
      <c r="H8" s="4">
        <v>177</v>
      </c>
      <c r="I8" s="4">
        <v>263</v>
      </c>
      <c r="J8" s="4">
        <v>592</v>
      </c>
      <c r="K8" s="4">
        <v>3216</v>
      </c>
      <c r="L8" s="4">
        <v>19807</v>
      </c>
      <c r="M8" s="4">
        <f t="shared" si="0"/>
        <v>112242</v>
      </c>
      <c r="N8" s="4">
        <f t="shared" si="1"/>
        <v>88627</v>
      </c>
      <c r="O8" s="4">
        <f t="shared" si="2"/>
        <v>92435</v>
      </c>
      <c r="P8" s="6">
        <f t="shared" si="3"/>
        <v>4.1196516471033701E-2</v>
      </c>
      <c r="Q8" s="6">
        <f t="shared" si="4"/>
        <v>0.17646691969138112</v>
      </c>
    </row>
    <row r="9" spans="1:17" ht="21" customHeight="1">
      <c r="A9" s="2" t="s">
        <v>13</v>
      </c>
      <c r="B9" s="4">
        <v>34852</v>
      </c>
      <c r="C9" s="4">
        <v>32650</v>
      </c>
      <c r="D9" s="4">
        <v>1012</v>
      </c>
      <c r="E9" s="4">
        <v>1215</v>
      </c>
      <c r="F9" s="4">
        <v>327</v>
      </c>
      <c r="G9" s="4">
        <v>266</v>
      </c>
      <c r="H9" s="4">
        <v>191</v>
      </c>
      <c r="I9" s="4">
        <v>183</v>
      </c>
      <c r="J9" s="4">
        <v>653</v>
      </c>
      <c r="K9" s="4">
        <v>2731</v>
      </c>
      <c r="L9" s="4">
        <v>14371</v>
      </c>
      <c r="M9" s="4">
        <f t="shared" si="0"/>
        <v>88451</v>
      </c>
      <c r="N9" s="4">
        <f t="shared" si="1"/>
        <v>70696</v>
      </c>
      <c r="O9" s="4">
        <f t="shared" si="2"/>
        <v>74080</v>
      </c>
      <c r="P9" s="6">
        <f t="shared" si="3"/>
        <v>4.568034557235421E-2</v>
      </c>
      <c r="Q9" s="6">
        <f t="shared" si="4"/>
        <v>0.16247413822342313</v>
      </c>
    </row>
    <row r="10" spans="1:17" ht="21" customHeight="1">
      <c r="A10" s="2" t="s">
        <v>14</v>
      </c>
      <c r="B10" s="4">
        <v>34476</v>
      </c>
      <c r="C10" s="4">
        <v>29789</v>
      </c>
      <c r="D10" s="4">
        <v>1939</v>
      </c>
      <c r="E10" s="4">
        <v>600</v>
      </c>
      <c r="F10" s="4">
        <v>264</v>
      </c>
      <c r="G10" s="4">
        <v>186</v>
      </c>
      <c r="H10" s="4">
        <v>111</v>
      </c>
      <c r="I10" s="4">
        <v>73</v>
      </c>
      <c r="J10" s="4">
        <v>364</v>
      </c>
      <c r="K10" s="4">
        <v>1350</v>
      </c>
      <c r="L10" s="4">
        <v>12868</v>
      </c>
      <c r="M10" s="4">
        <f t="shared" si="0"/>
        <v>82020</v>
      </c>
      <c r="N10" s="4">
        <f t="shared" si="1"/>
        <v>67438</v>
      </c>
      <c r="O10" s="4">
        <f t="shared" si="2"/>
        <v>69152</v>
      </c>
      <c r="P10" s="6">
        <f t="shared" si="3"/>
        <v>2.4785978713558539E-2</v>
      </c>
      <c r="Q10" s="6">
        <f t="shared" si="4"/>
        <v>0.15688856376493537</v>
      </c>
    </row>
    <row r="11" spans="1:17" ht="21" customHeight="1">
      <c r="A11" s="2" t="s">
        <v>15</v>
      </c>
      <c r="B11" s="4">
        <v>19161</v>
      </c>
      <c r="C11" s="4">
        <v>14704</v>
      </c>
      <c r="D11" s="4">
        <v>2263</v>
      </c>
      <c r="E11" s="4">
        <v>1411</v>
      </c>
      <c r="F11" s="4">
        <v>272</v>
      </c>
      <c r="G11" s="4">
        <v>263</v>
      </c>
      <c r="H11" s="4">
        <v>171</v>
      </c>
      <c r="I11" s="4">
        <v>135</v>
      </c>
      <c r="J11" s="4">
        <v>372</v>
      </c>
      <c r="K11" s="4">
        <v>2033</v>
      </c>
      <c r="L11" s="4">
        <v>17657</v>
      </c>
      <c r="M11" s="4">
        <f t="shared" si="0"/>
        <v>58442</v>
      </c>
      <c r="N11" s="4">
        <f t="shared" si="1"/>
        <v>38380</v>
      </c>
      <c r="O11" s="4">
        <f t="shared" si="2"/>
        <v>40785</v>
      </c>
      <c r="P11" s="6">
        <f t="shared" si="3"/>
        <v>5.8967757754076255E-2</v>
      </c>
      <c r="Q11" s="6">
        <f t="shared" si="4"/>
        <v>0.30212860613942027</v>
      </c>
    </row>
    <row r="12" spans="1:17" ht="21" customHeight="1">
      <c r="A12" s="2" t="s">
        <v>16</v>
      </c>
      <c r="B12" s="4">
        <v>36801</v>
      </c>
      <c r="C12" s="4">
        <v>32874</v>
      </c>
      <c r="D12" s="4">
        <v>3544</v>
      </c>
      <c r="E12" s="4">
        <v>2130</v>
      </c>
      <c r="F12" s="4">
        <v>467</v>
      </c>
      <c r="G12" s="4">
        <v>443</v>
      </c>
      <c r="H12" s="4">
        <v>238</v>
      </c>
      <c r="I12" s="4">
        <v>244</v>
      </c>
      <c r="J12" s="4">
        <v>711</v>
      </c>
      <c r="K12" s="4">
        <v>3457</v>
      </c>
      <c r="L12" s="4">
        <v>25794</v>
      </c>
      <c r="M12" s="4">
        <f t="shared" si="0"/>
        <v>106703</v>
      </c>
      <c r="N12" s="4">
        <f t="shared" si="1"/>
        <v>76741</v>
      </c>
      <c r="O12" s="4">
        <f t="shared" si="2"/>
        <v>80909</v>
      </c>
      <c r="P12" s="6">
        <f t="shared" si="3"/>
        <v>5.151466462321868E-2</v>
      </c>
      <c r="Q12" s="6">
        <f t="shared" si="4"/>
        <v>0.24173640853584247</v>
      </c>
    </row>
    <row r="13" spans="1:17" ht="21" customHeight="1">
      <c r="A13" s="2" t="s">
        <v>17</v>
      </c>
      <c r="B13" s="4">
        <v>177688</v>
      </c>
      <c r="C13" s="4">
        <v>144627</v>
      </c>
      <c r="D13" s="4">
        <v>9869</v>
      </c>
      <c r="E13" s="4">
        <v>4932</v>
      </c>
      <c r="F13" s="4">
        <v>1403</v>
      </c>
      <c r="G13" s="4">
        <v>1240</v>
      </c>
      <c r="H13" s="4">
        <v>764</v>
      </c>
      <c r="I13" s="4">
        <v>498</v>
      </c>
      <c r="J13" s="4">
        <v>1657</v>
      </c>
      <c r="K13" s="4">
        <v>7411</v>
      </c>
      <c r="L13" s="4">
        <v>80310</v>
      </c>
      <c r="M13" s="4">
        <f t="shared" si="0"/>
        <v>430399</v>
      </c>
      <c r="N13" s="4">
        <f t="shared" si="1"/>
        <v>341021</v>
      </c>
      <c r="O13" s="4">
        <f t="shared" si="2"/>
        <v>350089</v>
      </c>
      <c r="P13" s="6">
        <f t="shared" si="3"/>
        <v>2.5901984923833655E-2</v>
      </c>
      <c r="Q13" s="6">
        <f t="shared" si="4"/>
        <v>0.18659429970794542</v>
      </c>
    </row>
    <row r="14" spans="1:17" ht="21" customHeight="1">
      <c r="A14" s="2" t="s">
        <v>18</v>
      </c>
      <c r="B14" s="5">
        <f t="shared" ref="B14:O14" si="5">SUM(B7:B13)</f>
        <v>419824</v>
      </c>
      <c r="C14" s="5">
        <f t="shared" si="5"/>
        <v>364285</v>
      </c>
      <c r="D14" s="5">
        <f t="shared" si="5"/>
        <v>22740</v>
      </c>
      <c r="E14" s="5">
        <f t="shared" si="5"/>
        <v>13666</v>
      </c>
      <c r="F14" s="5">
        <f t="shared" si="5"/>
        <v>3822</v>
      </c>
      <c r="G14" s="5">
        <f t="shared" si="5"/>
        <v>3323</v>
      </c>
      <c r="H14" s="5">
        <f t="shared" si="5"/>
        <v>1868</v>
      </c>
      <c r="I14" s="5">
        <f t="shared" si="5"/>
        <v>1613</v>
      </c>
      <c r="J14" s="5">
        <f t="shared" si="5"/>
        <v>5374</v>
      </c>
      <c r="K14" s="5">
        <f t="shared" si="5"/>
        <v>23691</v>
      </c>
      <c r="L14" s="5">
        <f t="shared" si="5"/>
        <v>198239</v>
      </c>
      <c r="M14" s="5">
        <f t="shared" si="5"/>
        <v>1058445</v>
      </c>
      <c r="N14" s="5">
        <f t="shared" si="5"/>
        <v>831141</v>
      </c>
      <c r="O14" s="5">
        <f t="shared" si="5"/>
        <v>860206</v>
      </c>
      <c r="P14" s="7">
        <f t="shared" si="3"/>
        <v>3.3788418123100745E-2</v>
      </c>
      <c r="Q14" s="7">
        <f t="shared" si="4"/>
        <v>0.18729267935509167</v>
      </c>
    </row>
    <row r="15" spans="1:17" ht="21" customHeight="1">
      <c r="A15" s="2" t="s">
        <v>19</v>
      </c>
      <c r="B15" s="7">
        <f t="shared" ref="B15:I15" si="6">B14/$N$14</f>
        <v>0.50511766354926546</v>
      </c>
      <c r="C15" s="7">
        <f t="shared" si="6"/>
        <v>0.43829506666137275</v>
      </c>
      <c r="D15" s="7">
        <f t="shared" si="6"/>
        <v>2.73599786317845E-2</v>
      </c>
      <c r="E15" s="7">
        <f t="shared" si="6"/>
        <v>1.6442456815389927E-2</v>
      </c>
      <c r="F15" s="7">
        <f t="shared" si="6"/>
        <v>4.5984977278223553E-3</v>
      </c>
      <c r="G15" s="7">
        <f t="shared" si="6"/>
        <v>3.9981182494907607E-3</v>
      </c>
      <c r="H15" s="7">
        <f t="shared" si="6"/>
        <v>2.247512756559958E-3</v>
      </c>
      <c r="I15" s="7">
        <f t="shared" si="6"/>
        <v>1.9407056083143534E-3</v>
      </c>
      <c r="J15" s="1"/>
      <c r="K15" s="1"/>
      <c r="L15" s="1"/>
      <c r="M15" s="1"/>
      <c r="N15" s="1"/>
      <c r="O15" s="1"/>
      <c r="P15" s="1"/>
      <c r="Q15" s="1"/>
    </row>
    <row r="17" spans="1:17" ht="18" customHeight="1">
      <c r="A17" s="9" t="s">
        <v>40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</sheetData>
  <mergeCells count="2">
    <mergeCell ref="A5:Q5"/>
    <mergeCell ref="A17:Q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5:O17"/>
  <sheetViews>
    <sheetView workbookViewId="0"/>
  </sheetViews>
  <sheetFormatPr baseColWidth="10" defaultColWidth="8.83203125" defaultRowHeight="14"/>
  <cols>
    <col min="1" max="1" width="27" customWidth="1"/>
    <col min="2" max="2" width="86" customWidth="1"/>
    <col min="3" max="3" width="74" customWidth="1"/>
    <col min="4" max="4" width="86" customWidth="1"/>
    <col min="5" max="5" width="98" customWidth="1"/>
    <col min="6" max="6" width="62" customWidth="1"/>
    <col min="7" max="7" width="46" customWidth="1"/>
    <col min="8" max="13" width="20" customWidth="1"/>
    <col min="14" max="15" width="22" customWidth="1"/>
  </cols>
  <sheetData>
    <row r="5" spans="1:15" ht="28" customHeight="1">
      <c r="A5" s="8">
        <v>1982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ht="28" customHeight="1">
      <c r="A6" s="2" t="s">
        <v>0</v>
      </c>
      <c r="B6" s="3" t="s">
        <v>1</v>
      </c>
      <c r="C6" s="3" t="s">
        <v>37</v>
      </c>
      <c r="D6" s="3" t="s">
        <v>41</v>
      </c>
      <c r="E6" s="3" t="s">
        <v>38</v>
      </c>
      <c r="F6" s="3" t="s">
        <v>22</v>
      </c>
      <c r="G6" s="3" t="s">
        <v>2</v>
      </c>
      <c r="H6" s="3" t="s">
        <v>3</v>
      </c>
      <c r="I6" s="3" t="s">
        <v>4</v>
      </c>
      <c r="J6" s="3" t="s">
        <v>5</v>
      </c>
      <c r="K6" s="3" t="s">
        <v>6</v>
      </c>
      <c r="L6" s="3" t="s">
        <v>7</v>
      </c>
      <c r="M6" s="3" t="s">
        <v>8</v>
      </c>
      <c r="N6" s="3" t="s">
        <v>9</v>
      </c>
      <c r="O6" s="3" t="s">
        <v>10</v>
      </c>
    </row>
    <row r="7" spans="1:15" ht="21" customHeight="1">
      <c r="A7" s="2" t="s">
        <v>11</v>
      </c>
      <c r="B7" s="4">
        <v>102324</v>
      </c>
      <c r="C7" s="4">
        <v>61026</v>
      </c>
      <c r="D7" s="4">
        <v>4745</v>
      </c>
      <c r="E7" s="4">
        <v>3441</v>
      </c>
      <c r="F7" s="4">
        <v>280</v>
      </c>
      <c r="G7" s="4">
        <v>264</v>
      </c>
      <c r="H7" s="4">
        <v>945</v>
      </c>
      <c r="I7" s="4">
        <v>3367</v>
      </c>
      <c r="J7" s="4">
        <v>40524</v>
      </c>
      <c r="K7" s="4">
        <f t="shared" ref="K7:K13" si="0">M7+J7</f>
        <v>216916</v>
      </c>
      <c r="L7" s="4">
        <f t="shared" ref="L7:L13" si="1">SUM(B7:G7)</f>
        <v>172080</v>
      </c>
      <c r="M7" s="4">
        <f t="shared" ref="M7:M13" si="2">L7+H7+I7</f>
        <v>176392</v>
      </c>
      <c r="N7" s="6">
        <f t="shared" ref="N7:N14" si="3">(H7+I7)/M7</f>
        <v>2.4445553086307768E-2</v>
      </c>
      <c r="O7" s="6">
        <f t="shared" ref="O7:O14" si="4">J7/K7</f>
        <v>0.18681886075715945</v>
      </c>
    </row>
    <row r="8" spans="1:15" ht="21" customHeight="1">
      <c r="A8" s="2" t="s">
        <v>12</v>
      </c>
      <c r="B8" s="4">
        <v>65676</v>
      </c>
      <c r="C8" s="4">
        <v>34806</v>
      </c>
      <c r="D8" s="4">
        <v>2858</v>
      </c>
      <c r="E8" s="4">
        <v>2259</v>
      </c>
      <c r="F8" s="4">
        <v>274</v>
      </c>
      <c r="G8" s="4">
        <v>203</v>
      </c>
      <c r="H8" s="4">
        <v>533</v>
      </c>
      <c r="I8" s="4">
        <v>2205</v>
      </c>
      <c r="J8" s="4">
        <v>24928</v>
      </c>
      <c r="K8" s="4">
        <f t="shared" si="0"/>
        <v>133742</v>
      </c>
      <c r="L8" s="4">
        <f t="shared" si="1"/>
        <v>106076</v>
      </c>
      <c r="M8" s="4">
        <f t="shared" si="2"/>
        <v>108814</v>
      </c>
      <c r="N8" s="6">
        <f t="shared" si="3"/>
        <v>2.516220339294576E-2</v>
      </c>
      <c r="O8" s="6">
        <f t="shared" si="4"/>
        <v>0.18638871857755979</v>
      </c>
    </row>
    <row r="9" spans="1:15" ht="21" customHeight="1">
      <c r="A9" s="2" t="s">
        <v>13</v>
      </c>
      <c r="B9" s="4">
        <v>47699</v>
      </c>
      <c r="C9" s="4">
        <v>27202</v>
      </c>
      <c r="D9" s="4">
        <v>1899</v>
      </c>
      <c r="E9" s="4">
        <v>1436</v>
      </c>
      <c r="F9" s="4">
        <v>149</v>
      </c>
      <c r="G9" s="4">
        <v>146</v>
      </c>
      <c r="H9" s="4">
        <v>479</v>
      </c>
      <c r="I9" s="4">
        <v>2317</v>
      </c>
      <c r="J9" s="4">
        <v>19513</v>
      </c>
      <c r="K9" s="4">
        <f t="shared" si="0"/>
        <v>100840</v>
      </c>
      <c r="L9" s="4">
        <f t="shared" si="1"/>
        <v>78531</v>
      </c>
      <c r="M9" s="4">
        <f t="shared" si="2"/>
        <v>81327</v>
      </c>
      <c r="N9" s="6">
        <f t="shared" si="3"/>
        <v>3.4379726290161935E-2</v>
      </c>
      <c r="O9" s="6">
        <f t="shared" si="4"/>
        <v>0.19350456168187227</v>
      </c>
    </row>
    <row r="10" spans="1:15" ht="21" customHeight="1">
      <c r="A10" s="2" t="s">
        <v>14</v>
      </c>
      <c r="B10" s="4">
        <v>45976</v>
      </c>
      <c r="C10" s="4">
        <v>29288</v>
      </c>
      <c r="D10" s="4">
        <v>2120</v>
      </c>
      <c r="E10" s="4">
        <v>2999</v>
      </c>
      <c r="F10" s="4">
        <v>120</v>
      </c>
      <c r="G10" s="4">
        <v>121</v>
      </c>
      <c r="H10" s="4">
        <v>319</v>
      </c>
      <c r="I10" s="4">
        <v>1310</v>
      </c>
      <c r="J10" s="4">
        <v>19146</v>
      </c>
      <c r="K10" s="4">
        <f t="shared" si="0"/>
        <v>101399</v>
      </c>
      <c r="L10" s="4">
        <f t="shared" si="1"/>
        <v>80624</v>
      </c>
      <c r="M10" s="4">
        <f t="shared" si="2"/>
        <v>82253</v>
      </c>
      <c r="N10" s="6">
        <f t="shared" si="3"/>
        <v>1.9804748762963054E-2</v>
      </c>
      <c r="O10" s="6">
        <f t="shared" si="4"/>
        <v>0.18881843016203315</v>
      </c>
    </row>
    <row r="11" spans="1:15" ht="21" customHeight="1">
      <c r="A11" s="2" t="s">
        <v>15</v>
      </c>
      <c r="B11" s="4">
        <v>25526</v>
      </c>
      <c r="C11" s="4">
        <v>16034</v>
      </c>
      <c r="D11" s="4">
        <v>1697</v>
      </c>
      <c r="E11" s="4">
        <v>3698</v>
      </c>
      <c r="F11" s="4">
        <v>265</v>
      </c>
      <c r="G11" s="4">
        <v>171</v>
      </c>
      <c r="H11" s="4">
        <v>466</v>
      </c>
      <c r="I11" s="4">
        <v>1990</v>
      </c>
      <c r="J11" s="4">
        <v>23845</v>
      </c>
      <c r="K11" s="4">
        <f t="shared" si="0"/>
        <v>73692</v>
      </c>
      <c r="L11" s="4">
        <f t="shared" si="1"/>
        <v>47391</v>
      </c>
      <c r="M11" s="4">
        <f t="shared" si="2"/>
        <v>49847</v>
      </c>
      <c r="N11" s="6">
        <f t="shared" si="3"/>
        <v>4.9270768551768408E-2</v>
      </c>
      <c r="O11" s="6">
        <f t="shared" si="4"/>
        <v>0.32357650762633666</v>
      </c>
    </row>
    <row r="12" spans="1:15" ht="21" customHeight="1">
      <c r="A12" s="2" t="s">
        <v>16</v>
      </c>
      <c r="B12" s="4">
        <v>50215</v>
      </c>
      <c r="C12" s="4">
        <v>28208</v>
      </c>
      <c r="D12" s="4">
        <v>2835</v>
      </c>
      <c r="E12" s="4">
        <v>4323</v>
      </c>
      <c r="F12" s="4">
        <v>245</v>
      </c>
      <c r="G12" s="4">
        <v>270</v>
      </c>
      <c r="H12" s="4">
        <v>648</v>
      </c>
      <c r="I12" s="4">
        <v>2908</v>
      </c>
      <c r="J12" s="4">
        <v>34735</v>
      </c>
      <c r="K12" s="4">
        <f t="shared" si="0"/>
        <v>124387</v>
      </c>
      <c r="L12" s="4">
        <f t="shared" si="1"/>
        <v>86096</v>
      </c>
      <c r="M12" s="4">
        <f t="shared" si="2"/>
        <v>89652</v>
      </c>
      <c r="N12" s="6">
        <f t="shared" si="3"/>
        <v>3.9664480435461565E-2</v>
      </c>
      <c r="O12" s="6">
        <f t="shared" si="4"/>
        <v>0.27924943925008239</v>
      </c>
    </row>
    <row r="13" spans="1:15" ht="21" customHeight="1">
      <c r="A13" s="2" t="s">
        <v>17</v>
      </c>
      <c r="B13" s="4">
        <v>230958</v>
      </c>
      <c r="C13" s="4">
        <v>128623</v>
      </c>
      <c r="D13" s="4">
        <v>20973</v>
      </c>
      <c r="E13" s="4">
        <v>14030</v>
      </c>
      <c r="F13" s="4">
        <v>622</v>
      </c>
      <c r="G13" s="4">
        <v>572</v>
      </c>
      <c r="H13" s="4">
        <v>1472</v>
      </c>
      <c r="I13" s="4">
        <v>6144</v>
      </c>
      <c r="J13" s="4">
        <v>106757</v>
      </c>
      <c r="K13" s="4">
        <f t="shared" si="0"/>
        <v>510151</v>
      </c>
      <c r="L13" s="4">
        <f t="shared" si="1"/>
        <v>395778</v>
      </c>
      <c r="M13" s="4">
        <f t="shared" si="2"/>
        <v>403394</v>
      </c>
      <c r="N13" s="6">
        <f t="shared" si="3"/>
        <v>1.887980485579855E-2</v>
      </c>
      <c r="O13" s="6">
        <f t="shared" si="4"/>
        <v>0.20926549198178579</v>
      </c>
    </row>
    <row r="14" spans="1:15" ht="21" customHeight="1">
      <c r="A14" s="2" t="s">
        <v>18</v>
      </c>
      <c r="B14" s="5">
        <f t="shared" ref="B14:M14" si="5">SUM(B7:B13)</f>
        <v>568374</v>
      </c>
      <c r="C14" s="5">
        <f t="shared" si="5"/>
        <v>325187</v>
      </c>
      <c r="D14" s="5">
        <f t="shared" si="5"/>
        <v>37127</v>
      </c>
      <c r="E14" s="5">
        <f t="shared" si="5"/>
        <v>32186</v>
      </c>
      <c r="F14" s="5">
        <f t="shared" si="5"/>
        <v>1955</v>
      </c>
      <c r="G14" s="5">
        <f t="shared" si="5"/>
        <v>1747</v>
      </c>
      <c r="H14" s="5">
        <f t="shared" si="5"/>
        <v>4862</v>
      </c>
      <c r="I14" s="5">
        <f t="shared" si="5"/>
        <v>20241</v>
      </c>
      <c r="J14" s="5">
        <f t="shared" si="5"/>
        <v>269448</v>
      </c>
      <c r="K14" s="5">
        <f t="shared" si="5"/>
        <v>1261127</v>
      </c>
      <c r="L14" s="5">
        <f t="shared" si="5"/>
        <v>966576</v>
      </c>
      <c r="M14" s="5">
        <f t="shared" si="5"/>
        <v>991679</v>
      </c>
      <c r="N14" s="7">
        <f t="shared" si="3"/>
        <v>2.5313634754794645E-2</v>
      </c>
      <c r="O14" s="7">
        <f t="shared" si="4"/>
        <v>0.21365651516461071</v>
      </c>
    </row>
    <row r="15" spans="1:15" ht="21" customHeight="1">
      <c r="A15" s="2" t="s">
        <v>19</v>
      </c>
      <c r="B15" s="7">
        <f t="shared" ref="B15:G15" si="6">B14/$L$14</f>
        <v>0.58802825644336298</v>
      </c>
      <c r="C15" s="7">
        <f t="shared" si="6"/>
        <v>0.33643189981956928</v>
      </c>
      <c r="D15" s="7">
        <f t="shared" si="6"/>
        <v>3.8410844051580011E-2</v>
      </c>
      <c r="E15" s="7">
        <f t="shared" si="6"/>
        <v>3.3298985284136995E-2</v>
      </c>
      <c r="F15" s="7">
        <f t="shared" si="6"/>
        <v>2.0226034993626987E-3</v>
      </c>
      <c r="G15" s="7">
        <f t="shared" si="6"/>
        <v>1.8074109019880485E-3</v>
      </c>
      <c r="H15" s="1"/>
      <c r="I15" s="1"/>
      <c r="J15" s="1"/>
      <c r="K15" s="1"/>
      <c r="L15" s="1"/>
      <c r="M15" s="1"/>
      <c r="N15" s="1"/>
      <c r="O15" s="1"/>
    </row>
    <row r="17" spans="1:15" ht="18" customHeight="1">
      <c r="A17" s="9" t="s">
        <v>42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</sheetData>
  <mergeCells count="2">
    <mergeCell ref="A5:O5"/>
    <mergeCell ref="A17:O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5:O17"/>
  <sheetViews>
    <sheetView workbookViewId="0"/>
  </sheetViews>
  <sheetFormatPr baseColWidth="10" defaultColWidth="8.83203125" defaultRowHeight="14"/>
  <cols>
    <col min="1" max="1" width="27" customWidth="1"/>
    <col min="2" max="2" width="86" customWidth="1"/>
    <col min="3" max="3" width="102" customWidth="1"/>
    <col min="4" max="4" width="110" customWidth="1"/>
    <col min="5" max="5" width="98" customWidth="1"/>
    <col min="6" max="6" width="114" customWidth="1"/>
    <col min="7" max="7" width="62" customWidth="1"/>
    <col min="8" max="13" width="20" customWidth="1"/>
    <col min="14" max="15" width="22" customWidth="1"/>
  </cols>
  <sheetData>
    <row r="5" spans="1:15" ht="28" customHeight="1">
      <c r="A5" s="8">
        <v>1986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ht="28" customHeight="1">
      <c r="A6" s="2" t="s">
        <v>0</v>
      </c>
      <c r="B6" s="3" t="s">
        <v>1</v>
      </c>
      <c r="C6" s="3" t="s">
        <v>43</v>
      </c>
      <c r="D6" s="3" t="s">
        <v>44</v>
      </c>
      <c r="E6" s="3" t="s">
        <v>38</v>
      </c>
      <c r="F6" s="3" t="s">
        <v>45</v>
      </c>
      <c r="G6" s="3" t="s">
        <v>22</v>
      </c>
      <c r="H6" s="3" t="s">
        <v>3</v>
      </c>
      <c r="I6" s="3" t="s">
        <v>4</v>
      </c>
      <c r="J6" s="3" t="s">
        <v>5</v>
      </c>
      <c r="K6" s="3" t="s">
        <v>6</v>
      </c>
      <c r="L6" s="3" t="s">
        <v>7</v>
      </c>
      <c r="M6" s="3" t="s">
        <v>8</v>
      </c>
      <c r="N6" s="3" t="s">
        <v>9</v>
      </c>
      <c r="O6" s="3" t="s">
        <v>10</v>
      </c>
    </row>
    <row r="7" spans="1:15" ht="21" customHeight="1">
      <c r="A7" s="2" t="s">
        <v>11</v>
      </c>
      <c r="B7" s="4">
        <v>112928</v>
      </c>
      <c r="C7" s="4">
        <v>97560</v>
      </c>
      <c r="D7" s="4">
        <v>1044</v>
      </c>
      <c r="E7" s="4">
        <v>850</v>
      </c>
      <c r="F7" s="4">
        <v>721</v>
      </c>
      <c r="G7" s="4">
        <v>123</v>
      </c>
      <c r="H7" s="4">
        <v>1040</v>
      </c>
      <c r="I7" s="4">
        <v>4074</v>
      </c>
      <c r="J7" s="4">
        <v>39359</v>
      </c>
      <c r="K7" s="4">
        <f t="shared" ref="K7:K13" si="0">M7+J7</f>
        <v>257699</v>
      </c>
      <c r="L7" s="4">
        <f t="shared" ref="L7:L13" si="1">SUM(B7:G7)</f>
        <v>213226</v>
      </c>
      <c r="M7" s="4">
        <f t="shared" ref="M7:M13" si="2">L7+H7+I7</f>
        <v>218340</v>
      </c>
      <c r="N7" s="6">
        <f t="shared" ref="N7:N14" si="3">(H7+I7)/M7</f>
        <v>2.3422185582119628E-2</v>
      </c>
      <c r="O7" s="6">
        <f t="shared" ref="O7:O14" si="4">J7/K7</f>
        <v>0.15273245142588834</v>
      </c>
    </row>
    <row r="8" spans="1:15" ht="21" customHeight="1">
      <c r="A8" s="2" t="s">
        <v>12</v>
      </c>
      <c r="B8" s="4">
        <v>71977</v>
      </c>
      <c r="C8" s="4">
        <v>58969</v>
      </c>
      <c r="D8" s="4">
        <v>667</v>
      </c>
      <c r="E8" s="4">
        <v>538</v>
      </c>
      <c r="F8" s="4">
        <v>695</v>
      </c>
      <c r="G8" s="4">
        <v>140</v>
      </c>
      <c r="H8" s="4">
        <v>561</v>
      </c>
      <c r="I8" s="4">
        <v>3236</v>
      </c>
      <c r="J8" s="4">
        <v>24684</v>
      </c>
      <c r="K8" s="4">
        <f t="shared" si="0"/>
        <v>161467</v>
      </c>
      <c r="L8" s="4">
        <f t="shared" si="1"/>
        <v>132986</v>
      </c>
      <c r="M8" s="4">
        <f t="shared" si="2"/>
        <v>136783</v>
      </c>
      <c r="N8" s="6">
        <f t="shared" si="3"/>
        <v>2.7759297573528876E-2</v>
      </c>
      <c r="O8" s="6">
        <f t="shared" si="4"/>
        <v>0.15287334254058105</v>
      </c>
    </row>
    <row r="9" spans="1:15" ht="21" customHeight="1">
      <c r="A9" s="2" t="s">
        <v>13</v>
      </c>
      <c r="B9" s="4">
        <v>46301</v>
      </c>
      <c r="C9" s="4">
        <v>45011</v>
      </c>
      <c r="D9" s="4">
        <v>304</v>
      </c>
      <c r="E9" s="4">
        <v>440</v>
      </c>
      <c r="F9" s="4">
        <v>289</v>
      </c>
      <c r="G9" s="4">
        <v>117</v>
      </c>
      <c r="H9" s="4">
        <v>525</v>
      </c>
      <c r="I9" s="4">
        <v>2746</v>
      </c>
      <c r="J9" s="4">
        <v>18724</v>
      </c>
      <c r="K9" s="4">
        <f t="shared" si="0"/>
        <v>114457</v>
      </c>
      <c r="L9" s="4">
        <f t="shared" si="1"/>
        <v>92462</v>
      </c>
      <c r="M9" s="4">
        <f t="shared" si="2"/>
        <v>95733</v>
      </c>
      <c r="N9" s="6">
        <f t="shared" si="3"/>
        <v>3.4167946267222381E-2</v>
      </c>
      <c r="O9" s="6">
        <f t="shared" si="4"/>
        <v>0.16358981975763823</v>
      </c>
    </row>
    <row r="10" spans="1:15" ht="21" customHeight="1">
      <c r="A10" s="2" t="s">
        <v>14</v>
      </c>
      <c r="B10" s="4">
        <v>53687</v>
      </c>
      <c r="C10" s="4">
        <v>45972</v>
      </c>
      <c r="D10" s="4">
        <v>778</v>
      </c>
      <c r="E10" s="4">
        <v>644</v>
      </c>
      <c r="F10" s="4">
        <v>503</v>
      </c>
      <c r="G10" s="4">
        <v>74</v>
      </c>
      <c r="H10" s="4">
        <v>317</v>
      </c>
      <c r="I10" s="4">
        <v>1722</v>
      </c>
      <c r="J10" s="4">
        <v>18426</v>
      </c>
      <c r="K10" s="4">
        <f t="shared" si="0"/>
        <v>122123</v>
      </c>
      <c r="L10" s="4">
        <f t="shared" si="1"/>
        <v>101658</v>
      </c>
      <c r="M10" s="4">
        <f t="shared" si="2"/>
        <v>103697</v>
      </c>
      <c r="N10" s="6">
        <f t="shared" si="3"/>
        <v>1.9663056790456813E-2</v>
      </c>
      <c r="O10" s="6">
        <f t="shared" si="4"/>
        <v>0.15088066948895784</v>
      </c>
    </row>
    <row r="11" spans="1:15" ht="21" customHeight="1">
      <c r="A11" s="2" t="s">
        <v>15</v>
      </c>
      <c r="B11" s="4">
        <v>27440</v>
      </c>
      <c r="C11" s="4">
        <v>34988</v>
      </c>
      <c r="D11" s="4">
        <v>1069</v>
      </c>
      <c r="E11" s="4">
        <v>730</v>
      </c>
      <c r="F11" s="4">
        <v>449</v>
      </c>
      <c r="G11" s="4">
        <v>73</v>
      </c>
      <c r="H11" s="4">
        <v>522</v>
      </c>
      <c r="I11" s="4">
        <v>2850</v>
      </c>
      <c r="J11" s="4">
        <v>26358</v>
      </c>
      <c r="K11" s="4">
        <f t="shared" si="0"/>
        <v>94479</v>
      </c>
      <c r="L11" s="4">
        <f t="shared" si="1"/>
        <v>64749</v>
      </c>
      <c r="M11" s="4">
        <f t="shared" si="2"/>
        <v>68121</v>
      </c>
      <c r="N11" s="6">
        <f t="shared" si="3"/>
        <v>4.9500154137490641E-2</v>
      </c>
      <c r="O11" s="6">
        <f t="shared" si="4"/>
        <v>0.27898263106087068</v>
      </c>
    </row>
    <row r="12" spans="1:15" ht="21" customHeight="1">
      <c r="A12" s="2" t="s">
        <v>16</v>
      </c>
      <c r="B12" s="4">
        <v>51200</v>
      </c>
      <c r="C12" s="4">
        <v>52319</v>
      </c>
      <c r="D12" s="4">
        <v>1294</v>
      </c>
      <c r="E12" s="4">
        <v>757</v>
      </c>
      <c r="F12" s="4">
        <v>583</v>
      </c>
      <c r="G12" s="4">
        <v>125</v>
      </c>
      <c r="H12" s="4">
        <v>646</v>
      </c>
      <c r="I12" s="4">
        <v>3768</v>
      </c>
      <c r="J12" s="4">
        <v>34917</v>
      </c>
      <c r="K12" s="4">
        <f t="shared" si="0"/>
        <v>145609</v>
      </c>
      <c r="L12" s="4">
        <f t="shared" si="1"/>
        <v>106278</v>
      </c>
      <c r="M12" s="4">
        <f t="shared" si="2"/>
        <v>110692</v>
      </c>
      <c r="N12" s="6">
        <f t="shared" si="3"/>
        <v>3.9876413832977992E-2</v>
      </c>
      <c r="O12" s="6">
        <f t="shared" si="4"/>
        <v>0.23979973765357909</v>
      </c>
    </row>
    <row r="13" spans="1:15" ht="21" customHeight="1">
      <c r="A13" s="2" t="s">
        <v>17</v>
      </c>
      <c r="B13" s="4">
        <v>256781</v>
      </c>
      <c r="C13" s="4">
        <v>207615</v>
      </c>
      <c r="D13" s="4">
        <v>3943</v>
      </c>
      <c r="E13" s="4">
        <v>2640</v>
      </c>
      <c r="F13" s="4">
        <v>2407</v>
      </c>
      <c r="G13" s="4">
        <v>477</v>
      </c>
      <c r="H13" s="4">
        <v>1438</v>
      </c>
      <c r="I13" s="4">
        <v>7633</v>
      </c>
      <c r="J13" s="4">
        <v>107706</v>
      </c>
      <c r="K13" s="4">
        <f t="shared" si="0"/>
        <v>590640</v>
      </c>
      <c r="L13" s="4">
        <f t="shared" si="1"/>
        <v>473863</v>
      </c>
      <c r="M13" s="4">
        <f t="shared" si="2"/>
        <v>482934</v>
      </c>
      <c r="N13" s="6">
        <f t="shared" si="3"/>
        <v>1.8783104937734763E-2</v>
      </c>
      <c r="O13" s="6">
        <f t="shared" si="4"/>
        <v>0.18235473384802925</v>
      </c>
    </row>
    <row r="14" spans="1:15" ht="21" customHeight="1">
      <c r="A14" s="2" t="s">
        <v>18</v>
      </c>
      <c r="B14" s="5">
        <f t="shared" ref="B14:M14" si="5">SUM(B7:B13)</f>
        <v>620314</v>
      </c>
      <c r="C14" s="5">
        <f t="shared" si="5"/>
        <v>542434</v>
      </c>
      <c r="D14" s="5">
        <f t="shared" si="5"/>
        <v>9099</v>
      </c>
      <c r="E14" s="5">
        <f t="shared" si="5"/>
        <v>6599</v>
      </c>
      <c r="F14" s="5">
        <f t="shared" si="5"/>
        <v>5647</v>
      </c>
      <c r="G14" s="5">
        <f t="shared" si="5"/>
        <v>1129</v>
      </c>
      <c r="H14" s="5">
        <f t="shared" si="5"/>
        <v>5049</v>
      </c>
      <c r="I14" s="5">
        <f t="shared" si="5"/>
        <v>26029</v>
      </c>
      <c r="J14" s="5">
        <f t="shared" si="5"/>
        <v>270174</v>
      </c>
      <c r="K14" s="5">
        <f t="shared" si="5"/>
        <v>1486474</v>
      </c>
      <c r="L14" s="5">
        <f t="shared" si="5"/>
        <v>1185222</v>
      </c>
      <c r="M14" s="5">
        <f t="shared" si="5"/>
        <v>1216300</v>
      </c>
      <c r="N14" s="7">
        <f t="shared" si="3"/>
        <v>2.555126202417167E-2</v>
      </c>
      <c r="O14" s="7">
        <f t="shared" si="4"/>
        <v>0.18175494492335553</v>
      </c>
    </row>
    <row r="15" spans="1:15" ht="21" customHeight="1">
      <c r="A15" s="2" t="s">
        <v>19</v>
      </c>
      <c r="B15" s="7">
        <f t="shared" ref="B15:G15" si="6">B14/$L$14</f>
        <v>0.52337368020505859</v>
      </c>
      <c r="C15" s="7">
        <f t="shared" si="6"/>
        <v>0.45766447129736032</v>
      </c>
      <c r="D15" s="7">
        <f t="shared" si="6"/>
        <v>7.6770427818585885E-3</v>
      </c>
      <c r="E15" s="7">
        <f t="shared" si="6"/>
        <v>5.5677333022842975E-3</v>
      </c>
      <c r="F15" s="7">
        <f t="shared" si="6"/>
        <v>4.7645082524624075E-3</v>
      </c>
      <c r="G15" s="7">
        <f t="shared" si="6"/>
        <v>9.5256416097574969E-4</v>
      </c>
      <c r="H15" s="1"/>
      <c r="I15" s="1"/>
      <c r="J15" s="1"/>
      <c r="K15" s="1"/>
      <c r="L15" s="1"/>
      <c r="M15" s="1"/>
      <c r="N15" s="1"/>
      <c r="O15" s="1"/>
    </row>
    <row r="17" spans="1:15" ht="18" customHeight="1">
      <c r="A17" s="9" t="s">
        <v>46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</sheetData>
  <mergeCells count="2">
    <mergeCell ref="A5:O5"/>
    <mergeCell ref="A17:O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5:P17"/>
  <sheetViews>
    <sheetView workbookViewId="0"/>
  </sheetViews>
  <sheetFormatPr baseColWidth="10" defaultColWidth="8.83203125" defaultRowHeight="14"/>
  <cols>
    <col min="1" max="1" width="27" customWidth="1"/>
    <col min="2" max="2" width="102" customWidth="1"/>
    <col min="3" max="3" width="86" customWidth="1"/>
    <col min="4" max="4" width="98" customWidth="1"/>
    <col min="5" max="5" width="114" customWidth="1"/>
    <col min="6" max="6" width="58" customWidth="1"/>
    <col min="7" max="7" width="180" customWidth="1"/>
    <col min="8" max="8" width="62" customWidth="1"/>
    <col min="9" max="14" width="20" customWidth="1"/>
    <col min="15" max="16" width="22" customWidth="1"/>
  </cols>
  <sheetData>
    <row r="5" spans="1:16" ht="28" customHeight="1">
      <c r="A5" s="8">
        <v>1990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28" customHeight="1">
      <c r="A6" s="2" t="s">
        <v>0</v>
      </c>
      <c r="B6" s="3" t="s">
        <v>43</v>
      </c>
      <c r="C6" s="3" t="s">
        <v>1</v>
      </c>
      <c r="D6" s="3" t="s">
        <v>38</v>
      </c>
      <c r="E6" s="3" t="s">
        <v>45</v>
      </c>
      <c r="F6" s="3" t="s">
        <v>47</v>
      </c>
      <c r="G6" s="3" t="s">
        <v>48</v>
      </c>
      <c r="H6" s="3" t="s">
        <v>22</v>
      </c>
      <c r="I6" s="3" t="s">
        <v>3</v>
      </c>
      <c r="J6" s="3" t="s">
        <v>4</v>
      </c>
      <c r="K6" s="3" t="s">
        <v>5</v>
      </c>
      <c r="L6" s="3" t="s">
        <v>6</v>
      </c>
      <c r="M6" s="3" t="s">
        <v>7</v>
      </c>
      <c r="N6" s="3" t="s">
        <v>8</v>
      </c>
      <c r="O6" s="3" t="s">
        <v>9</v>
      </c>
      <c r="P6" s="3" t="s">
        <v>10</v>
      </c>
    </row>
    <row r="7" spans="1:16" ht="21" customHeight="1">
      <c r="A7" s="2" t="s">
        <v>11</v>
      </c>
      <c r="B7" s="4">
        <v>126406</v>
      </c>
      <c r="C7" s="4">
        <v>117003</v>
      </c>
      <c r="D7" s="4">
        <v>1046</v>
      </c>
      <c r="E7" s="4">
        <v>799</v>
      </c>
      <c r="F7" s="4">
        <v>367</v>
      </c>
      <c r="G7" s="4">
        <v>140</v>
      </c>
      <c r="H7" s="4">
        <v>115</v>
      </c>
      <c r="I7" s="4">
        <v>1063</v>
      </c>
      <c r="J7" s="4">
        <v>4855</v>
      </c>
      <c r="K7" s="4">
        <v>44625</v>
      </c>
      <c r="L7" s="4">
        <f t="shared" ref="L7:L13" si="0">N7+K7</f>
        <v>296419</v>
      </c>
      <c r="M7" s="4">
        <f t="shared" ref="M7:M13" si="1">SUM(B7:H7)</f>
        <v>245876</v>
      </c>
      <c r="N7" s="4">
        <f t="shared" ref="N7:N13" si="2">M7+I7+J7</f>
        <v>251794</v>
      </c>
      <c r="O7" s="6">
        <f t="shared" ref="O7:O14" si="3">(I7+J7)/N7</f>
        <v>2.3503340031930865E-2</v>
      </c>
      <c r="P7" s="6">
        <f t="shared" ref="P7:P14" si="4">K7/L7</f>
        <v>0.15054702971132081</v>
      </c>
    </row>
    <row r="8" spans="1:16" ht="21" customHeight="1">
      <c r="A8" s="2" t="s">
        <v>12</v>
      </c>
      <c r="B8" s="4">
        <v>77948</v>
      </c>
      <c r="C8" s="4">
        <v>75170</v>
      </c>
      <c r="D8" s="4">
        <v>818</v>
      </c>
      <c r="E8" s="4">
        <v>314</v>
      </c>
      <c r="F8" s="4">
        <v>289</v>
      </c>
      <c r="G8" s="4">
        <v>126</v>
      </c>
      <c r="H8" s="4">
        <v>100</v>
      </c>
      <c r="I8" s="4">
        <v>623</v>
      </c>
      <c r="J8" s="4">
        <v>3579</v>
      </c>
      <c r="K8" s="4">
        <v>28002</v>
      </c>
      <c r="L8" s="4">
        <f t="shared" si="0"/>
        <v>186969</v>
      </c>
      <c r="M8" s="4">
        <f t="shared" si="1"/>
        <v>154765</v>
      </c>
      <c r="N8" s="4">
        <f t="shared" si="2"/>
        <v>158967</v>
      </c>
      <c r="O8" s="6">
        <f t="shared" si="3"/>
        <v>2.6433159083331759E-2</v>
      </c>
      <c r="P8" s="6">
        <f t="shared" si="4"/>
        <v>0.14976814338205799</v>
      </c>
    </row>
    <row r="9" spans="1:16" ht="21" customHeight="1">
      <c r="A9" s="2" t="s">
        <v>13</v>
      </c>
      <c r="B9" s="4">
        <v>53017</v>
      </c>
      <c r="C9" s="4">
        <v>46653</v>
      </c>
      <c r="D9" s="4">
        <v>446</v>
      </c>
      <c r="E9" s="4">
        <v>239</v>
      </c>
      <c r="F9" s="4">
        <v>95</v>
      </c>
      <c r="G9" s="4">
        <v>69</v>
      </c>
      <c r="H9" s="4">
        <v>46</v>
      </c>
      <c r="I9" s="4">
        <v>425</v>
      </c>
      <c r="J9" s="4">
        <v>2510</v>
      </c>
      <c r="K9" s="4">
        <v>20481</v>
      </c>
      <c r="L9" s="4">
        <f t="shared" si="0"/>
        <v>123981</v>
      </c>
      <c r="M9" s="4">
        <f t="shared" si="1"/>
        <v>100565</v>
      </c>
      <c r="N9" s="4">
        <f t="shared" si="2"/>
        <v>103500</v>
      </c>
      <c r="O9" s="6">
        <f t="shared" si="3"/>
        <v>2.8357487922705316E-2</v>
      </c>
      <c r="P9" s="6">
        <f t="shared" si="4"/>
        <v>0.16519466692477072</v>
      </c>
    </row>
    <row r="10" spans="1:16" ht="21" customHeight="1">
      <c r="A10" s="2" t="s">
        <v>14</v>
      </c>
      <c r="B10" s="4">
        <v>59747</v>
      </c>
      <c r="C10" s="4">
        <v>56250</v>
      </c>
      <c r="D10" s="4">
        <v>858</v>
      </c>
      <c r="E10" s="4">
        <v>428</v>
      </c>
      <c r="F10" s="4">
        <v>296</v>
      </c>
      <c r="G10" s="4">
        <v>64</v>
      </c>
      <c r="H10" s="4">
        <v>54</v>
      </c>
      <c r="I10" s="4">
        <v>398</v>
      </c>
      <c r="J10" s="4">
        <v>2157</v>
      </c>
      <c r="K10" s="4">
        <v>20958</v>
      </c>
      <c r="L10" s="4">
        <f t="shared" si="0"/>
        <v>141210</v>
      </c>
      <c r="M10" s="4">
        <f t="shared" si="1"/>
        <v>117697</v>
      </c>
      <c r="N10" s="4">
        <f t="shared" si="2"/>
        <v>120252</v>
      </c>
      <c r="O10" s="6">
        <f t="shared" si="3"/>
        <v>2.1247047866147756E-2</v>
      </c>
      <c r="P10" s="6">
        <f t="shared" si="4"/>
        <v>0.14841725090291055</v>
      </c>
    </row>
    <row r="11" spans="1:16" ht="21" customHeight="1">
      <c r="A11" s="2" t="s">
        <v>15</v>
      </c>
      <c r="B11" s="4">
        <v>47678</v>
      </c>
      <c r="C11" s="4">
        <v>29057</v>
      </c>
      <c r="D11" s="4">
        <v>828</v>
      </c>
      <c r="E11" s="4">
        <v>455</v>
      </c>
      <c r="F11" s="4">
        <v>125</v>
      </c>
      <c r="G11" s="4">
        <v>165</v>
      </c>
      <c r="H11" s="4">
        <v>84</v>
      </c>
      <c r="I11" s="4">
        <v>577</v>
      </c>
      <c r="J11" s="4">
        <v>3484</v>
      </c>
      <c r="K11" s="4">
        <v>32071</v>
      </c>
      <c r="L11" s="4">
        <f t="shared" si="0"/>
        <v>114524</v>
      </c>
      <c r="M11" s="4">
        <f t="shared" si="1"/>
        <v>78392</v>
      </c>
      <c r="N11" s="4">
        <f t="shared" si="2"/>
        <v>82453</v>
      </c>
      <c r="O11" s="6">
        <f t="shared" si="3"/>
        <v>4.9252301311049934E-2</v>
      </c>
      <c r="P11" s="6">
        <f t="shared" si="4"/>
        <v>0.28003737207921486</v>
      </c>
    </row>
    <row r="12" spans="1:16" ht="21" customHeight="1">
      <c r="A12" s="2" t="s">
        <v>16</v>
      </c>
      <c r="B12" s="4">
        <v>67295</v>
      </c>
      <c r="C12" s="4">
        <v>50571</v>
      </c>
      <c r="D12" s="4">
        <v>976</v>
      </c>
      <c r="E12" s="4">
        <v>478</v>
      </c>
      <c r="F12" s="4">
        <v>182</v>
      </c>
      <c r="G12" s="4">
        <v>132</v>
      </c>
      <c r="H12" s="4">
        <v>87</v>
      </c>
      <c r="I12" s="4">
        <v>649</v>
      </c>
      <c r="J12" s="4">
        <v>4272</v>
      </c>
      <c r="K12" s="4">
        <v>38385</v>
      </c>
      <c r="L12" s="4">
        <f t="shared" si="0"/>
        <v>163027</v>
      </c>
      <c r="M12" s="4">
        <f t="shared" si="1"/>
        <v>119721</v>
      </c>
      <c r="N12" s="4">
        <f t="shared" si="2"/>
        <v>124642</v>
      </c>
      <c r="O12" s="6">
        <f t="shared" si="3"/>
        <v>3.9481073795349882E-2</v>
      </c>
      <c r="P12" s="6">
        <f t="shared" si="4"/>
        <v>0.23545179632821558</v>
      </c>
    </row>
    <row r="13" spans="1:16" ht="21" customHeight="1">
      <c r="A13" s="2" t="s">
        <v>17</v>
      </c>
      <c r="B13" s="4">
        <v>262760</v>
      </c>
      <c r="C13" s="4">
        <v>261997</v>
      </c>
      <c r="D13" s="4">
        <v>3986</v>
      </c>
      <c r="E13" s="4">
        <v>1497</v>
      </c>
      <c r="F13" s="4">
        <v>1193</v>
      </c>
      <c r="G13" s="4">
        <v>305</v>
      </c>
      <c r="H13" s="4">
        <v>260</v>
      </c>
      <c r="I13" s="4">
        <v>1658</v>
      </c>
      <c r="J13" s="4">
        <v>9062</v>
      </c>
      <c r="K13" s="4">
        <v>123202</v>
      </c>
      <c r="L13" s="4">
        <f t="shared" si="0"/>
        <v>665920</v>
      </c>
      <c r="M13" s="4">
        <f t="shared" si="1"/>
        <v>531998</v>
      </c>
      <c r="N13" s="4">
        <f t="shared" si="2"/>
        <v>542718</v>
      </c>
      <c r="O13" s="6">
        <f t="shared" si="3"/>
        <v>1.9752431281070463E-2</v>
      </c>
      <c r="P13" s="6">
        <f t="shared" si="4"/>
        <v>0.18501021143680924</v>
      </c>
    </row>
    <row r="14" spans="1:16" ht="21" customHeight="1">
      <c r="A14" s="2" t="s">
        <v>18</v>
      </c>
      <c r="B14" s="5">
        <f t="shared" ref="B14:N14" si="5">SUM(B7:B13)</f>
        <v>694851</v>
      </c>
      <c r="C14" s="5">
        <f t="shared" si="5"/>
        <v>636701</v>
      </c>
      <c r="D14" s="5">
        <f t="shared" si="5"/>
        <v>8958</v>
      </c>
      <c r="E14" s="5">
        <f t="shared" si="5"/>
        <v>4210</v>
      </c>
      <c r="F14" s="5">
        <f t="shared" si="5"/>
        <v>2547</v>
      </c>
      <c r="G14" s="5">
        <f t="shared" si="5"/>
        <v>1001</v>
      </c>
      <c r="H14" s="5">
        <f t="shared" si="5"/>
        <v>746</v>
      </c>
      <c r="I14" s="5">
        <f t="shared" si="5"/>
        <v>5393</v>
      </c>
      <c r="J14" s="5">
        <f t="shared" si="5"/>
        <v>29919</v>
      </c>
      <c r="K14" s="5">
        <f t="shared" si="5"/>
        <v>307724</v>
      </c>
      <c r="L14" s="5">
        <f t="shared" si="5"/>
        <v>1692050</v>
      </c>
      <c r="M14" s="5">
        <f t="shared" si="5"/>
        <v>1349014</v>
      </c>
      <c r="N14" s="5">
        <f t="shared" si="5"/>
        <v>1384326</v>
      </c>
      <c r="O14" s="7">
        <f t="shared" si="3"/>
        <v>2.5508442375567604E-2</v>
      </c>
      <c r="P14" s="7">
        <f t="shared" si="4"/>
        <v>0.18186460210986674</v>
      </c>
    </row>
    <row r="15" spans="1:16" ht="21" customHeight="1">
      <c r="A15" s="2" t="s">
        <v>19</v>
      </c>
      <c r="B15" s="7">
        <f t="shared" ref="B15:H15" si="6">B14/$M$14</f>
        <v>0.51508064408523557</v>
      </c>
      <c r="C15" s="7">
        <f t="shared" si="6"/>
        <v>0.47197508698946045</v>
      </c>
      <c r="D15" s="7">
        <f t="shared" si="6"/>
        <v>6.6404055109880256E-3</v>
      </c>
      <c r="E15" s="7">
        <f t="shared" si="6"/>
        <v>3.1207978568050443E-3</v>
      </c>
      <c r="F15" s="7">
        <f t="shared" si="6"/>
        <v>1.8880456392594887E-3</v>
      </c>
      <c r="G15" s="7">
        <f t="shared" si="6"/>
        <v>7.4202343341136568E-4</v>
      </c>
      <c r="H15" s="7">
        <f t="shared" si="6"/>
        <v>5.5299648484003871E-4</v>
      </c>
      <c r="I15" s="1"/>
      <c r="J15" s="1"/>
      <c r="K15" s="1"/>
      <c r="L15" s="1"/>
      <c r="M15" s="1"/>
      <c r="N15" s="1"/>
      <c r="O15" s="1"/>
      <c r="P15" s="1"/>
    </row>
    <row r="17" spans="1:16" ht="18" customHeight="1">
      <c r="A17" s="9" t="s">
        <v>49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</sheetData>
  <mergeCells count="2">
    <mergeCell ref="A5:P5"/>
    <mergeCell ref="A17:P1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5:P17"/>
  <sheetViews>
    <sheetView workbookViewId="0"/>
  </sheetViews>
  <sheetFormatPr baseColWidth="10" defaultColWidth="8.83203125" defaultRowHeight="14"/>
  <cols>
    <col min="1" max="1" width="27" customWidth="1"/>
    <col min="2" max="2" width="86" customWidth="1"/>
    <col min="3" max="3" width="102" customWidth="1"/>
    <col min="4" max="4" width="82" customWidth="1"/>
    <col min="5" max="5" width="114" customWidth="1"/>
    <col min="6" max="6" width="98" customWidth="1"/>
    <col min="7" max="7" width="74" customWidth="1"/>
    <col min="8" max="8" width="62" customWidth="1"/>
    <col min="9" max="14" width="20" customWidth="1"/>
    <col min="15" max="16" width="22" customWidth="1"/>
  </cols>
  <sheetData>
    <row r="5" spans="1:16" ht="28" customHeight="1">
      <c r="A5" s="8">
        <v>1994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28" customHeight="1">
      <c r="A6" s="2" t="s">
        <v>0</v>
      </c>
      <c r="B6" s="3" t="s">
        <v>1</v>
      </c>
      <c r="C6" s="3" t="s">
        <v>43</v>
      </c>
      <c r="D6" s="3" t="s">
        <v>50</v>
      </c>
      <c r="E6" s="3" t="s">
        <v>45</v>
      </c>
      <c r="F6" s="3" t="s">
        <v>33</v>
      </c>
      <c r="G6" s="3" t="s">
        <v>51</v>
      </c>
      <c r="H6" s="3" t="s">
        <v>22</v>
      </c>
      <c r="I6" s="3" t="s">
        <v>3</v>
      </c>
      <c r="J6" s="3" t="s">
        <v>4</v>
      </c>
      <c r="K6" s="3" t="s">
        <v>5</v>
      </c>
      <c r="L6" s="3" t="s">
        <v>6</v>
      </c>
      <c r="M6" s="3" t="s">
        <v>7</v>
      </c>
      <c r="N6" s="3" t="s">
        <v>8</v>
      </c>
      <c r="O6" s="3" t="s">
        <v>9</v>
      </c>
      <c r="P6" s="3" t="s">
        <v>10</v>
      </c>
    </row>
    <row r="7" spans="1:16" ht="21" customHeight="1">
      <c r="A7" s="2" t="s">
        <v>11</v>
      </c>
      <c r="B7" s="4">
        <v>136933</v>
      </c>
      <c r="C7" s="4">
        <v>129050</v>
      </c>
      <c r="D7" s="4">
        <v>4648</v>
      </c>
      <c r="E7" s="4">
        <v>794</v>
      </c>
      <c r="F7" s="4">
        <v>357</v>
      </c>
      <c r="G7" s="4">
        <v>213</v>
      </c>
      <c r="H7" s="4">
        <v>233</v>
      </c>
      <c r="I7" s="4">
        <v>1098</v>
      </c>
      <c r="J7" s="4">
        <v>5006</v>
      </c>
      <c r="K7" s="4">
        <v>51221</v>
      </c>
      <c r="L7" s="4">
        <f t="shared" ref="L7:L13" si="0">N7+K7</f>
        <v>329553</v>
      </c>
      <c r="M7" s="4">
        <f t="shared" ref="M7:M13" si="1">SUM(B7:H7)</f>
        <v>272228</v>
      </c>
      <c r="N7" s="4">
        <f t="shared" ref="N7:N13" si="2">M7+I7+J7</f>
        <v>278332</v>
      </c>
      <c r="O7" s="6">
        <f t="shared" ref="O7:O14" si="3">(I7+J7)/N7</f>
        <v>2.1930643979132834E-2</v>
      </c>
      <c r="P7" s="6">
        <f t="shared" ref="P7:P14" si="4">K7/L7</f>
        <v>0.15542568266712789</v>
      </c>
    </row>
    <row r="8" spans="1:16" ht="21" customHeight="1">
      <c r="A8" s="2" t="s">
        <v>12</v>
      </c>
      <c r="B8" s="4">
        <v>86946</v>
      </c>
      <c r="C8" s="4">
        <v>80865</v>
      </c>
      <c r="D8" s="4">
        <v>3514</v>
      </c>
      <c r="E8" s="4">
        <v>606</v>
      </c>
      <c r="F8" s="4">
        <v>339</v>
      </c>
      <c r="G8" s="4">
        <v>272</v>
      </c>
      <c r="H8" s="4">
        <v>211</v>
      </c>
      <c r="I8" s="4">
        <v>547</v>
      </c>
      <c r="J8" s="4">
        <v>3616</v>
      </c>
      <c r="K8" s="4">
        <v>34391</v>
      </c>
      <c r="L8" s="4">
        <f t="shared" si="0"/>
        <v>211307</v>
      </c>
      <c r="M8" s="4">
        <f t="shared" si="1"/>
        <v>172753</v>
      </c>
      <c r="N8" s="4">
        <f t="shared" si="2"/>
        <v>176916</v>
      </c>
      <c r="O8" s="6">
        <f t="shared" si="3"/>
        <v>2.3530941237649507E-2</v>
      </c>
      <c r="P8" s="6">
        <f t="shared" si="4"/>
        <v>0.16275371852328602</v>
      </c>
    </row>
    <row r="9" spans="1:16" ht="21" customHeight="1">
      <c r="A9" s="2" t="s">
        <v>13</v>
      </c>
      <c r="B9" s="4">
        <v>53644</v>
      </c>
      <c r="C9" s="4">
        <v>52165</v>
      </c>
      <c r="D9" s="4">
        <v>663</v>
      </c>
      <c r="E9" s="4">
        <v>284</v>
      </c>
      <c r="F9" s="4">
        <v>152</v>
      </c>
      <c r="G9" s="4">
        <v>88</v>
      </c>
      <c r="H9" s="4">
        <v>218</v>
      </c>
      <c r="I9" s="4">
        <v>461</v>
      </c>
      <c r="J9" s="4">
        <v>3134</v>
      </c>
      <c r="K9" s="4">
        <v>20868</v>
      </c>
      <c r="L9" s="4">
        <f t="shared" si="0"/>
        <v>131677</v>
      </c>
      <c r="M9" s="4">
        <f t="shared" si="1"/>
        <v>107214</v>
      </c>
      <c r="N9" s="4">
        <f t="shared" si="2"/>
        <v>110809</v>
      </c>
      <c r="O9" s="6">
        <f t="shared" si="3"/>
        <v>3.2443213096409136E-2</v>
      </c>
      <c r="P9" s="6">
        <f t="shared" si="4"/>
        <v>0.1584787016715144</v>
      </c>
    </row>
    <row r="10" spans="1:16" ht="21" customHeight="1">
      <c r="A10" s="2" t="s">
        <v>14</v>
      </c>
      <c r="B10" s="4">
        <v>67221</v>
      </c>
      <c r="C10" s="4">
        <v>63215</v>
      </c>
      <c r="D10" s="4">
        <v>3464</v>
      </c>
      <c r="E10" s="4">
        <v>369</v>
      </c>
      <c r="F10" s="4">
        <v>194</v>
      </c>
      <c r="G10" s="4">
        <v>179</v>
      </c>
      <c r="H10" s="4">
        <v>106</v>
      </c>
      <c r="I10" s="4">
        <v>452</v>
      </c>
      <c r="J10" s="4">
        <v>2036</v>
      </c>
      <c r="K10" s="4">
        <v>25983</v>
      </c>
      <c r="L10" s="4">
        <f t="shared" si="0"/>
        <v>163219</v>
      </c>
      <c r="M10" s="4">
        <f t="shared" si="1"/>
        <v>134748</v>
      </c>
      <c r="N10" s="4">
        <f t="shared" si="2"/>
        <v>137236</v>
      </c>
      <c r="O10" s="6">
        <f t="shared" si="3"/>
        <v>1.8129353813868081E-2</v>
      </c>
      <c r="P10" s="6">
        <f t="shared" si="4"/>
        <v>0.15919102555462292</v>
      </c>
    </row>
    <row r="11" spans="1:16" ht="21" customHeight="1">
      <c r="A11" s="2" t="s">
        <v>15</v>
      </c>
      <c r="B11" s="4">
        <v>44947</v>
      </c>
      <c r="C11" s="4">
        <v>49813</v>
      </c>
      <c r="D11" s="4">
        <v>1223</v>
      </c>
      <c r="E11" s="4">
        <v>546</v>
      </c>
      <c r="F11" s="4">
        <v>223</v>
      </c>
      <c r="G11" s="4">
        <v>162</v>
      </c>
      <c r="H11" s="4">
        <v>240</v>
      </c>
      <c r="I11" s="4">
        <v>656</v>
      </c>
      <c r="J11" s="4">
        <v>3272</v>
      </c>
      <c r="K11" s="4">
        <v>36585</v>
      </c>
      <c r="L11" s="4">
        <f t="shared" si="0"/>
        <v>137667</v>
      </c>
      <c r="M11" s="4">
        <f t="shared" si="1"/>
        <v>97154</v>
      </c>
      <c r="N11" s="4">
        <f t="shared" si="2"/>
        <v>101082</v>
      </c>
      <c r="O11" s="6">
        <f t="shared" si="3"/>
        <v>3.8859539779584888E-2</v>
      </c>
      <c r="P11" s="6">
        <f t="shared" si="4"/>
        <v>0.26574996186449912</v>
      </c>
    </row>
    <row r="12" spans="1:16" ht="21" customHeight="1">
      <c r="A12" s="2" t="s">
        <v>16</v>
      </c>
      <c r="B12" s="4">
        <v>63421</v>
      </c>
      <c r="C12" s="4">
        <v>63466</v>
      </c>
      <c r="D12" s="4">
        <v>966</v>
      </c>
      <c r="E12" s="4">
        <v>765</v>
      </c>
      <c r="F12" s="4">
        <v>242</v>
      </c>
      <c r="G12" s="4">
        <v>267</v>
      </c>
      <c r="H12" s="4">
        <v>155</v>
      </c>
      <c r="I12" s="4">
        <v>584</v>
      </c>
      <c r="J12" s="4">
        <v>4593</v>
      </c>
      <c r="K12" s="4">
        <v>39741</v>
      </c>
      <c r="L12" s="4">
        <f t="shared" si="0"/>
        <v>174200</v>
      </c>
      <c r="M12" s="4">
        <f t="shared" si="1"/>
        <v>129282</v>
      </c>
      <c r="N12" s="4">
        <f t="shared" si="2"/>
        <v>134459</v>
      </c>
      <c r="O12" s="6">
        <f t="shared" si="3"/>
        <v>3.8502443123926255E-2</v>
      </c>
      <c r="P12" s="6">
        <f t="shared" si="4"/>
        <v>0.22813432835820896</v>
      </c>
    </row>
    <row r="13" spans="1:16" ht="21" customHeight="1">
      <c r="A13" s="2" t="s">
        <v>17</v>
      </c>
      <c r="B13" s="4">
        <v>286227</v>
      </c>
      <c r="C13" s="4">
        <v>272754</v>
      </c>
      <c r="D13" s="4">
        <v>13796</v>
      </c>
      <c r="E13" s="4">
        <v>1616</v>
      </c>
      <c r="F13" s="4">
        <v>919</v>
      </c>
      <c r="G13" s="4">
        <v>969</v>
      </c>
      <c r="H13" s="4">
        <v>437</v>
      </c>
      <c r="I13" s="4">
        <v>1421</v>
      </c>
      <c r="J13" s="4">
        <v>9006</v>
      </c>
      <c r="K13" s="4">
        <v>146580</v>
      </c>
      <c r="L13" s="4">
        <f t="shared" si="0"/>
        <v>733725</v>
      </c>
      <c r="M13" s="4">
        <f t="shared" si="1"/>
        <v>576718</v>
      </c>
      <c r="N13" s="4">
        <f t="shared" si="2"/>
        <v>587145</v>
      </c>
      <c r="O13" s="6">
        <f t="shared" si="3"/>
        <v>1.7758815965391854E-2</v>
      </c>
      <c r="P13" s="6">
        <f t="shared" si="4"/>
        <v>0.19977512010630685</v>
      </c>
    </row>
    <row r="14" spans="1:16" ht="21" customHeight="1">
      <c r="A14" s="2" t="s">
        <v>18</v>
      </c>
      <c r="B14" s="5">
        <f t="shared" ref="B14:N14" si="5">SUM(B7:B13)</f>
        <v>739339</v>
      </c>
      <c r="C14" s="5">
        <f t="shared" si="5"/>
        <v>711328</v>
      </c>
      <c r="D14" s="5">
        <f t="shared" si="5"/>
        <v>28274</v>
      </c>
      <c r="E14" s="5">
        <f t="shared" si="5"/>
        <v>4980</v>
      </c>
      <c r="F14" s="5">
        <f t="shared" si="5"/>
        <v>2426</v>
      </c>
      <c r="G14" s="5">
        <f t="shared" si="5"/>
        <v>2150</v>
      </c>
      <c r="H14" s="5">
        <f t="shared" si="5"/>
        <v>1600</v>
      </c>
      <c r="I14" s="5">
        <f t="shared" si="5"/>
        <v>5219</v>
      </c>
      <c r="J14" s="5">
        <f t="shared" si="5"/>
        <v>30663</v>
      </c>
      <c r="K14" s="5">
        <f t="shared" si="5"/>
        <v>355369</v>
      </c>
      <c r="L14" s="5">
        <f t="shared" si="5"/>
        <v>1881348</v>
      </c>
      <c r="M14" s="5">
        <f t="shared" si="5"/>
        <v>1490097</v>
      </c>
      <c r="N14" s="5">
        <f t="shared" si="5"/>
        <v>1525979</v>
      </c>
      <c r="O14" s="7">
        <f t="shared" si="3"/>
        <v>2.3514085056216369E-2</v>
      </c>
      <c r="P14" s="7">
        <f t="shared" si="4"/>
        <v>0.18889062523254602</v>
      </c>
    </row>
    <row r="15" spans="1:16" ht="21" customHeight="1">
      <c r="A15" s="2" t="s">
        <v>19</v>
      </c>
      <c r="B15" s="7">
        <f t="shared" ref="B15:H15" si="6">B14/$M$14</f>
        <v>0.49616837024703758</v>
      </c>
      <c r="C15" s="7">
        <f t="shared" si="6"/>
        <v>0.47737026515723474</v>
      </c>
      <c r="D15" s="7">
        <f t="shared" si="6"/>
        <v>1.8974603666741158E-2</v>
      </c>
      <c r="E15" s="7">
        <f t="shared" si="6"/>
        <v>3.342064308565147E-3</v>
      </c>
      <c r="F15" s="7">
        <f t="shared" si="6"/>
        <v>1.6280819302367563E-3</v>
      </c>
      <c r="G15" s="7">
        <f t="shared" si="6"/>
        <v>1.44285908903917E-3</v>
      </c>
      <c r="H15" s="7">
        <f t="shared" si="6"/>
        <v>1.0737556011454288E-3</v>
      </c>
      <c r="I15" s="1"/>
      <c r="J15" s="1"/>
      <c r="K15" s="1"/>
      <c r="L15" s="1"/>
      <c r="M15" s="1"/>
      <c r="N15" s="1"/>
      <c r="O15" s="1"/>
      <c r="P15" s="1"/>
    </row>
    <row r="17" spans="1:16" ht="18" customHeight="1">
      <c r="A17" s="9" t="s">
        <v>52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</sheetData>
  <mergeCells count="2">
    <mergeCell ref="A5:P5"/>
    <mergeCell ref="A17:P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5:V17"/>
  <sheetViews>
    <sheetView workbookViewId="0"/>
  </sheetViews>
  <sheetFormatPr baseColWidth="10" defaultColWidth="8.83203125" defaultRowHeight="14"/>
  <cols>
    <col min="1" max="1" width="27" customWidth="1"/>
    <col min="2" max="2" width="102" customWidth="1"/>
    <col min="3" max="3" width="86" customWidth="1"/>
    <col min="4" max="4" width="82" customWidth="1"/>
    <col min="5" max="5" width="90" customWidth="1"/>
    <col min="6" max="6" width="106" customWidth="1"/>
    <col min="7" max="7" width="46" customWidth="1"/>
    <col min="8" max="8" width="94" customWidth="1"/>
    <col min="9" max="9" width="98" customWidth="1"/>
    <col min="10" max="10" width="114" customWidth="1"/>
    <col min="11" max="11" width="58" customWidth="1"/>
    <col min="12" max="12" width="110" customWidth="1"/>
    <col min="13" max="13" width="74" customWidth="1"/>
    <col min="14" max="14" width="62" customWidth="1"/>
    <col min="15" max="20" width="20" customWidth="1"/>
    <col min="21" max="22" width="22" customWidth="1"/>
  </cols>
  <sheetData>
    <row r="5" spans="1:22" ht="28" customHeight="1">
      <c r="A5" s="8">
        <v>1998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ht="28" customHeight="1">
      <c r="A6" s="2" t="s">
        <v>0</v>
      </c>
      <c r="B6" s="3" t="s">
        <v>43</v>
      </c>
      <c r="C6" s="3" t="s">
        <v>1</v>
      </c>
      <c r="D6" s="3" t="s">
        <v>50</v>
      </c>
      <c r="E6" s="3" t="s">
        <v>53</v>
      </c>
      <c r="F6" s="3" t="s">
        <v>54</v>
      </c>
      <c r="G6" s="3" t="s">
        <v>2</v>
      </c>
      <c r="H6" s="3" t="s">
        <v>55</v>
      </c>
      <c r="I6" s="3" t="s">
        <v>33</v>
      </c>
      <c r="J6" s="3" t="s">
        <v>45</v>
      </c>
      <c r="K6" s="3" t="s">
        <v>56</v>
      </c>
      <c r="L6" s="3" t="s">
        <v>57</v>
      </c>
      <c r="M6" s="3" t="s">
        <v>58</v>
      </c>
      <c r="N6" s="3" t="s">
        <v>22</v>
      </c>
      <c r="O6" s="3" t="s">
        <v>3</v>
      </c>
      <c r="P6" s="3" t="s">
        <v>4</v>
      </c>
      <c r="Q6" s="3" t="s">
        <v>5</v>
      </c>
      <c r="R6" s="3" t="s">
        <v>6</v>
      </c>
      <c r="S6" s="3" t="s">
        <v>7</v>
      </c>
      <c r="T6" s="3" t="s">
        <v>8</v>
      </c>
      <c r="U6" s="3" t="s">
        <v>9</v>
      </c>
      <c r="V6" s="3" t="s">
        <v>10</v>
      </c>
    </row>
    <row r="7" spans="1:22" ht="21" customHeight="1">
      <c r="A7" s="2" t="s">
        <v>11</v>
      </c>
      <c r="B7" s="4">
        <v>120682</v>
      </c>
      <c r="C7" s="4">
        <v>117600</v>
      </c>
      <c r="D7" s="4">
        <v>8062</v>
      </c>
      <c r="E7" s="4">
        <v>2466</v>
      </c>
      <c r="F7" s="4">
        <v>3126</v>
      </c>
      <c r="G7" s="4">
        <v>2361</v>
      </c>
      <c r="H7" s="4">
        <v>764</v>
      </c>
      <c r="I7" s="4">
        <v>810</v>
      </c>
      <c r="J7" s="4">
        <v>368</v>
      </c>
      <c r="K7" s="4">
        <v>329</v>
      </c>
      <c r="L7" s="4">
        <v>327</v>
      </c>
      <c r="M7" s="4">
        <v>401</v>
      </c>
      <c r="N7" s="4">
        <v>221</v>
      </c>
      <c r="O7" s="4">
        <v>1391</v>
      </c>
      <c r="P7" s="4">
        <v>5835</v>
      </c>
      <c r="Q7" s="4">
        <v>98495</v>
      </c>
      <c r="R7" s="4">
        <f t="shared" ref="R7:R13" si="0">T7+Q7</f>
        <v>363238</v>
      </c>
      <c r="S7" s="4">
        <f t="shared" ref="S7:S13" si="1">SUM(B7:N7)</f>
        <v>257517</v>
      </c>
      <c r="T7" s="4">
        <f t="shared" ref="T7:T13" si="2">S7+O7+P7</f>
        <v>264743</v>
      </c>
      <c r="U7" s="6">
        <f t="shared" ref="U7:U14" si="3">(O7+P7)/T7</f>
        <v>2.7294394941509311E-2</v>
      </c>
      <c r="V7" s="6">
        <f t="shared" ref="V7:V14" si="4">Q7/R7</f>
        <v>0.27115830392194651</v>
      </c>
    </row>
    <row r="8" spans="1:22" ht="21" customHeight="1">
      <c r="A8" s="2" t="s">
        <v>12</v>
      </c>
      <c r="B8" s="4">
        <v>74501</v>
      </c>
      <c r="C8" s="4">
        <v>80109</v>
      </c>
      <c r="D8" s="4">
        <v>5306</v>
      </c>
      <c r="E8" s="4">
        <v>2307</v>
      </c>
      <c r="F8" s="4">
        <v>1362</v>
      </c>
      <c r="G8" s="4">
        <v>1669</v>
      </c>
      <c r="H8" s="4">
        <v>487</v>
      </c>
      <c r="I8" s="4">
        <v>737</v>
      </c>
      <c r="J8" s="4">
        <v>587</v>
      </c>
      <c r="K8" s="4">
        <v>235</v>
      </c>
      <c r="L8" s="4">
        <v>275</v>
      </c>
      <c r="M8" s="4">
        <v>270</v>
      </c>
      <c r="N8" s="4">
        <v>132</v>
      </c>
      <c r="O8" s="4">
        <v>658</v>
      </c>
      <c r="P8" s="4">
        <v>4162</v>
      </c>
      <c r="Q8" s="4">
        <v>59173</v>
      </c>
      <c r="R8" s="4">
        <f t="shared" si="0"/>
        <v>231970</v>
      </c>
      <c r="S8" s="4">
        <f t="shared" si="1"/>
        <v>167977</v>
      </c>
      <c r="T8" s="4">
        <f t="shared" si="2"/>
        <v>172797</v>
      </c>
      <c r="U8" s="6">
        <f t="shared" si="3"/>
        <v>2.7894002789400279E-2</v>
      </c>
      <c r="V8" s="6">
        <f t="shared" si="4"/>
        <v>0.25508902013191359</v>
      </c>
    </row>
    <row r="9" spans="1:22" ht="21" customHeight="1">
      <c r="A9" s="2" t="s">
        <v>13</v>
      </c>
      <c r="B9" s="4">
        <v>56073</v>
      </c>
      <c r="C9" s="4">
        <v>40931</v>
      </c>
      <c r="D9" s="4">
        <v>1777</v>
      </c>
      <c r="E9" s="4">
        <v>300</v>
      </c>
      <c r="F9" s="4">
        <v>584</v>
      </c>
      <c r="G9" s="4">
        <v>137</v>
      </c>
      <c r="H9" s="4">
        <v>151</v>
      </c>
      <c r="I9" s="4">
        <v>195</v>
      </c>
      <c r="J9" s="4">
        <v>107</v>
      </c>
      <c r="K9" s="4">
        <v>154</v>
      </c>
      <c r="L9" s="4">
        <v>111</v>
      </c>
      <c r="M9" s="4">
        <v>103</v>
      </c>
      <c r="N9" s="4">
        <v>166</v>
      </c>
      <c r="O9" s="4">
        <v>684</v>
      </c>
      <c r="P9" s="4">
        <v>3270</v>
      </c>
      <c r="Q9" s="4">
        <v>36947</v>
      </c>
      <c r="R9" s="4">
        <f t="shared" si="0"/>
        <v>141690</v>
      </c>
      <c r="S9" s="4">
        <f t="shared" si="1"/>
        <v>100789</v>
      </c>
      <c r="T9" s="4">
        <f t="shared" si="2"/>
        <v>104743</v>
      </c>
      <c r="U9" s="6">
        <f t="shared" si="3"/>
        <v>3.774953934869156E-2</v>
      </c>
      <c r="V9" s="6">
        <f t="shared" si="4"/>
        <v>0.26075940433340389</v>
      </c>
    </row>
    <row r="10" spans="1:22" ht="21" customHeight="1">
      <c r="A10" s="2" t="s">
        <v>14</v>
      </c>
      <c r="B10" s="4">
        <v>56530</v>
      </c>
      <c r="C10" s="4">
        <v>60387</v>
      </c>
      <c r="D10" s="4">
        <v>4497</v>
      </c>
      <c r="E10" s="4">
        <v>2119</v>
      </c>
      <c r="F10" s="4">
        <v>2764</v>
      </c>
      <c r="G10" s="4">
        <v>1840</v>
      </c>
      <c r="H10" s="4">
        <v>461</v>
      </c>
      <c r="I10" s="4">
        <v>383</v>
      </c>
      <c r="J10" s="4">
        <v>194</v>
      </c>
      <c r="K10" s="4">
        <v>368</v>
      </c>
      <c r="L10" s="4">
        <v>242</v>
      </c>
      <c r="M10" s="4">
        <v>392</v>
      </c>
      <c r="N10" s="4">
        <v>119</v>
      </c>
      <c r="O10" s="4">
        <v>549</v>
      </c>
      <c r="P10" s="4">
        <v>2979</v>
      </c>
      <c r="Q10" s="4">
        <v>52141</v>
      </c>
      <c r="R10" s="4">
        <f t="shared" si="0"/>
        <v>185965</v>
      </c>
      <c r="S10" s="4">
        <f t="shared" si="1"/>
        <v>130296</v>
      </c>
      <c r="T10" s="4">
        <f t="shared" si="2"/>
        <v>133824</v>
      </c>
      <c r="U10" s="6">
        <f t="shared" si="3"/>
        <v>2.6362984218077475E-2</v>
      </c>
      <c r="V10" s="6">
        <f t="shared" si="4"/>
        <v>0.28038071680154869</v>
      </c>
    </row>
    <row r="11" spans="1:22" ht="21" customHeight="1">
      <c r="A11" s="2" t="s">
        <v>15</v>
      </c>
      <c r="B11" s="4">
        <v>52361</v>
      </c>
      <c r="C11" s="4">
        <v>28280</v>
      </c>
      <c r="D11" s="4">
        <v>2303</v>
      </c>
      <c r="E11" s="4">
        <v>771</v>
      </c>
      <c r="F11" s="4">
        <v>1327</v>
      </c>
      <c r="G11" s="4">
        <v>552</v>
      </c>
      <c r="H11" s="4">
        <v>478</v>
      </c>
      <c r="I11" s="4">
        <v>311</v>
      </c>
      <c r="J11" s="4">
        <v>350</v>
      </c>
      <c r="K11" s="4">
        <v>665</v>
      </c>
      <c r="L11" s="4">
        <v>209</v>
      </c>
      <c r="M11" s="4">
        <v>140</v>
      </c>
      <c r="N11" s="4">
        <v>143</v>
      </c>
      <c r="O11" s="4">
        <v>789</v>
      </c>
      <c r="P11" s="4">
        <v>3674</v>
      </c>
      <c r="Q11" s="4">
        <v>61271</v>
      </c>
      <c r="R11" s="4">
        <f t="shared" si="0"/>
        <v>153624</v>
      </c>
      <c r="S11" s="4">
        <f t="shared" si="1"/>
        <v>87890</v>
      </c>
      <c r="T11" s="4">
        <f t="shared" si="2"/>
        <v>92353</v>
      </c>
      <c r="U11" s="6">
        <f t="shared" si="3"/>
        <v>4.8325446926466925E-2</v>
      </c>
      <c r="V11" s="6">
        <f t="shared" si="4"/>
        <v>0.39883742123626514</v>
      </c>
    </row>
    <row r="12" spans="1:22" ht="21" customHeight="1">
      <c r="A12" s="2" t="s">
        <v>16</v>
      </c>
      <c r="B12" s="4">
        <v>65154</v>
      </c>
      <c r="C12" s="4">
        <v>44699</v>
      </c>
      <c r="D12" s="4">
        <v>2184</v>
      </c>
      <c r="E12" s="4">
        <v>550</v>
      </c>
      <c r="F12" s="4">
        <v>607</v>
      </c>
      <c r="G12" s="4">
        <v>298</v>
      </c>
      <c r="H12" s="4">
        <v>467</v>
      </c>
      <c r="I12" s="4">
        <v>237</v>
      </c>
      <c r="J12" s="4">
        <v>641</v>
      </c>
      <c r="K12" s="4">
        <v>310</v>
      </c>
      <c r="L12" s="4">
        <v>431</v>
      </c>
      <c r="M12" s="4">
        <v>197</v>
      </c>
      <c r="N12" s="4">
        <v>105</v>
      </c>
      <c r="O12" s="4">
        <v>755</v>
      </c>
      <c r="P12" s="4">
        <v>4391</v>
      </c>
      <c r="Q12" s="4">
        <v>64412</v>
      </c>
      <c r="R12" s="4">
        <f t="shared" si="0"/>
        <v>185438</v>
      </c>
      <c r="S12" s="4">
        <f t="shared" si="1"/>
        <v>115880</v>
      </c>
      <c r="T12" s="4">
        <f t="shared" si="2"/>
        <v>121026</v>
      </c>
      <c r="U12" s="6">
        <f t="shared" si="3"/>
        <v>4.2519789136218664E-2</v>
      </c>
      <c r="V12" s="6">
        <f t="shared" si="4"/>
        <v>0.34735059696502335</v>
      </c>
    </row>
    <row r="13" spans="1:22" ht="21" customHeight="1">
      <c r="A13" s="2" t="s">
        <v>17</v>
      </c>
      <c r="B13" s="4">
        <v>226859</v>
      </c>
      <c r="C13" s="4">
        <v>246828</v>
      </c>
      <c r="D13" s="4">
        <v>17581</v>
      </c>
      <c r="E13" s="4">
        <v>11421</v>
      </c>
      <c r="F13" s="4">
        <v>9543</v>
      </c>
      <c r="G13" s="4">
        <v>6095</v>
      </c>
      <c r="H13" s="4">
        <v>3066</v>
      </c>
      <c r="I13" s="4">
        <v>1545</v>
      </c>
      <c r="J13" s="4">
        <v>1298</v>
      </c>
      <c r="K13" s="4">
        <v>1014</v>
      </c>
      <c r="L13" s="4">
        <v>1430</v>
      </c>
      <c r="M13" s="4">
        <v>1178</v>
      </c>
      <c r="N13" s="4">
        <v>491</v>
      </c>
      <c r="O13" s="4">
        <v>2071</v>
      </c>
      <c r="P13" s="4">
        <v>12007</v>
      </c>
      <c r="Q13" s="4">
        <v>241628</v>
      </c>
      <c r="R13" s="4">
        <f t="shared" si="0"/>
        <v>784055</v>
      </c>
      <c r="S13" s="4">
        <f t="shared" si="1"/>
        <v>528349</v>
      </c>
      <c r="T13" s="4">
        <f t="shared" si="2"/>
        <v>542427</v>
      </c>
      <c r="U13" s="6">
        <f t="shared" si="3"/>
        <v>2.5953722805096353E-2</v>
      </c>
      <c r="V13" s="6">
        <f t="shared" si="4"/>
        <v>0.30817736000663221</v>
      </c>
    </row>
    <row r="14" spans="1:22" ht="21" customHeight="1">
      <c r="A14" s="2" t="s">
        <v>18</v>
      </c>
      <c r="B14" s="5">
        <f t="shared" ref="B14:T14" si="5">SUM(B7:B13)</f>
        <v>652160</v>
      </c>
      <c r="C14" s="5">
        <f t="shared" si="5"/>
        <v>618834</v>
      </c>
      <c r="D14" s="5">
        <f t="shared" si="5"/>
        <v>41710</v>
      </c>
      <c r="E14" s="5">
        <f t="shared" si="5"/>
        <v>19934</v>
      </c>
      <c r="F14" s="5">
        <f t="shared" si="5"/>
        <v>19313</v>
      </c>
      <c r="G14" s="5">
        <f t="shared" si="5"/>
        <v>12952</v>
      </c>
      <c r="H14" s="5">
        <f t="shared" si="5"/>
        <v>5874</v>
      </c>
      <c r="I14" s="5">
        <f t="shared" si="5"/>
        <v>4218</v>
      </c>
      <c r="J14" s="5">
        <f t="shared" si="5"/>
        <v>3545</v>
      </c>
      <c r="K14" s="5">
        <f t="shared" si="5"/>
        <v>3075</v>
      </c>
      <c r="L14" s="5">
        <f t="shared" si="5"/>
        <v>3025</v>
      </c>
      <c r="M14" s="5">
        <f t="shared" si="5"/>
        <v>2681</v>
      </c>
      <c r="N14" s="5">
        <f t="shared" si="5"/>
        <v>1377</v>
      </c>
      <c r="O14" s="5">
        <f t="shared" si="5"/>
        <v>6897</v>
      </c>
      <c r="P14" s="5">
        <f t="shared" si="5"/>
        <v>36318</v>
      </c>
      <c r="Q14" s="5">
        <f t="shared" si="5"/>
        <v>614067</v>
      </c>
      <c r="R14" s="5">
        <f t="shared" si="5"/>
        <v>2045980</v>
      </c>
      <c r="S14" s="5">
        <f t="shared" si="5"/>
        <v>1388698</v>
      </c>
      <c r="T14" s="5">
        <f t="shared" si="5"/>
        <v>1431913</v>
      </c>
      <c r="U14" s="7">
        <f t="shared" si="3"/>
        <v>3.0179906181450968E-2</v>
      </c>
      <c r="V14" s="7">
        <f t="shared" si="4"/>
        <v>0.3001334323893684</v>
      </c>
    </row>
    <row r="15" spans="1:22" ht="21" customHeight="1">
      <c r="A15" s="2" t="s">
        <v>19</v>
      </c>
      <c r="B15" s="7">
        <f t="shared" ref="B15:N15" si="6">B14/$S$14</f>
        <v>0.46961974453768929</v>
      </c>
      <c r="C15" s="7">
        <f t="shared" si="6"/>
        <v>0.44562172625005581</v>
      </c>
      <c r="D15" s="7">
        <f t="shared" si="6"/>
        <v>3.0035328055487948E-2</v>
      </c>
      <c r="E15" s="7">
        <f t="shared" si="6"/>
        <v>1.4354452876003277E-2</v>
      </c>
      <c r="F15" s="7">
        <f t="shared" si="6"/>
        <v>1.3907271415383331E-2</v>
      </c>
      <c r="G15" s="7">
        <f t="shared" si="6"/>
        <v>9.3267218646530779E-3</v>
      </c>
      <c r="H15" s="7">
        <f t="shared" si="6"/>
        <v>4.2298613521442388E-3</v>
      </c>
      <c r="I15" s="7">
        <f t="shared" si="6"/>
        <v>3.0373774571577118E-3</v>
      </c>
      <c r="J15" s="7">
        <f t="shared" si="6"/>
        <v>2.5527508500768348E-3</v>
      </c>
      <c r="K15" s="7">
        <f t="shared" si="6"/>
        <v>2.2143043339876633E-3</v>
      </c>
      <c r="L15" s="7">
        <f t="shared" si="6"/>
        <v>2.1782993854675388E-3</v>
      </c>
      <c r="M15" s="7">
        <f t="shared" si="6"/>
        <v>1.9305853396490813E-3</v>
      </c>
      <c r="N15" s="7">
        <f t="shared" si="6"/>
        <v>9.9157628224423155E-4</v>
      </c>
      <c r="O15" s="1"/>
      <c r="P15" s="1"/>
      <c r="Q15" s="1"/>
      <c r="R15" s="1"/>
      <c r="S15" s="1"/>
      <c r="T15" s="1"/>
      <c r="U15" s="1"/>
      <c r="V15" s="1"/>
    </row>
    <row r="17" spans="1:22" ht="18" customHeight="1">
      <c r="A17" s="9" t="s">
        <v>59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</sheetData>
  <mergeCells count="2">
    <mergeCell ref="A5:V5"/>
    <mergeCell ref="A17:V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5:V28"/>
  <sheetViews>
    <sheetView topLeftCell="A3" workbookViewId="0"/>
  </sheetViews>
  <sheetFormatPr baseColWidth="10" defaultColWidth="8.83203125" defaultRowHeight="14"/>
  <cols>
    <col min="1" max="1" width="27" customWidth="1"/>
    <col min="2" max="2" width="102" customWidth="1"/>
    <col min="3" max="3" width="86" customWidth="1"/>
    <col min="4" max="4" width="74" customWidth="1"/>
    <col min="5" max="5" width="94" customWidth="1"/>
    <col min="6" max="6" width="106" customWidth="1"/>
    <col min="7" max="7" width="90" customWidth="1"/>
    <col min="8" max="8" width="82" customWidth="1"/>
    <col min="9" max="9" width="54" customWidth="1"/>
    <col min="10" max="10" width="62" customWidth="1"/>
    <col min="11" max="11" width="86" customWidth="1"/>
    <col min="12" max="12" width="114" customWidth="1"/>
    <col min="13" max="13" width="74" customWidth="1"/>
    <col min="14" max="14" width="90" customWidth="1"/>
    <col min="15" max="20" width="20" customWidth="1"/>
    <col min="21" max="22" width="22" customWidth="1"/>
  </cols>
  <sheetData>
    <row r="5" spans="1:22" ht="28" customHeight="1">
      <c r="A5" s="8">
        <v>2002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ht="28" customHeight="1">
      <c r="A6" s="2" t="s">
        <v>0</v>
      </c>
      <c r="B6" s="3" t="s">
        <v>43</v>
      </c>
      <c r="C6" s="3" t="s">
        <v>1</v>
      </c>
      <c r="D6" s="3" t="s">
        <v>60</v>
      </c>
      <c r="E6" s="3" t="s">
        <v>55</v>
      </c>
      <c r="F6" s="3" t="s">
        <v>54</v>
      </c>
      <c r="G6" s="3" t="s">
        <v>53</v>
      </c>
      <c r="H6" s="3" t="s">
        <v>50</v>
      </c>
      <c r="I6" s="3" t="s">
        <v>61</v>
      </c>
      <c r="J6" s="3" t="s">
        <v>62</v>
      </c>
      <c r="K6" s="3" t="s">
        <v>63</v>
      </c>
      <c r="L6" s="3" t="s">
        <v>45</v>
      </c>
      <c r="M6" s="3" t="s">
        <v>58</v>
      </c>
      <c r="N6" s="3" t="s">
        <v>64</v>
      </c>
      <c r="O6" s="3" t="s">
        <v>3</v>
      </c>
      <c r="P6" s="3" t="s">
        <v>4</v>
      </c>
      <c r="Q6" s="3" t="s">
        <v>5</v>
      </c>
      <c r="R6" s="3" t="s">
        <v>6</v>
      </c>
      <c r="S6" s="3" t="s">
        <v>7</v>
      </c>
      <c r="T6" s="3" t="s">
        <v>8</v>
      </c>
      <c r="U6" s="3" t="s">
        <v>9</v>
      </c>
      <c r="V6" s="3" t="s">
        <v>10</v>
      </c>
    </row>
    <row r="7" spans="1:22" ht="21" customHeight="1">
      <c r="A7" s="2" t="s">
        <v>11</v>
      </c>
      <c r="B7" s="4">
        <v>109415</v>
      </c>
      <c r="C7" s="4">
        <v>98863</v>
      </c>
      <c r="D7" s="4">
        <v>71408</v>
      </c>
      <c r="E7" s="4">
        <v>4119</v>
      </c>
      <c r="F7" s="4">
        <v>2729</v>
      </c>
      <c r="G7" s="4">
        <v>747</v>
      </c>
      <c r="H7" s="4">
        <v>603</v>
      </c>
      <c r="I7" s="4">
        <v>558</v>
      </c>
      <c r="J7" s="4">
        <v>454</v>
      </c>
      <c r="K7" s="4">
        <v>204</v>
      </c>
      <c r="L7" s="4">
        <v>232</v>
      </c>
      <c r="M7" s="4">
        <v>127</v>
      </c>
      <c r="N7" s="4">
        <v>106</v>
      </c>
      <c r="O7" s="4">
        <v>1313</v>
      </c>
      <c r="P7" s="4">
        <v>5452</v>
      </c>
      <c r="Q7" s="4">
        <v>114208</v>
      </c>
      <c r="R7" s="4">
        <f t="shared" ref="R7:R13" si="0">T7+Q7</f>
        <v>410538</v>
      </c>
      <c r="S7" s="4">
        <f t="shared" ref="S7:S13" si="1">SUM(B7:N7)</f>
        <v>289565</v>
      </c>
      <c r="T7" s="4">
        <f t="shared" ref="T7:T13" si="2">S7+O7+P7</f>
        <v>296330</v>
      </c>
      <c r="U7" s="6">
        <f t="shared" ref="U7:U14" si="3">(O7+P7)/T7</f>
        <v>2.2829278169608207E-2</v>
      </c>
      <c r="V7" s="6">
        <f t="shared" ref="V7:V14" si="4">Q7/R7</f>
        <v>0.2781910566135169</v>
      </c>
    </row>
    <row r="8" spans="1:22" ht="21" customHeight="1">
      <c r="A8" s="2" t="s">
        <v>12</v>
      </c>
      <c r="B8" s="4">
        <v>65261</v>
      </c>
      <c r="C8" s="4">
        <v>58605</v>
      </c>
      <c r="D8" s="4">
        <v>52195</v>
      </c>
      <c r="E8" s="4">
        <v>3429</v>
      </c>
      <c r="F8" s="4">
        <v>1218</v>
      </c>
      <c r="G8" s="4">
        <v>916</v>
      </c>
      <c r="H8" s="4">
        <v>808</v>
      </c>
      <c r="I8" s="4">
        <v>692</v>
      </c>
      <c r="J8" s="4">
        <v>324</v>
      </c>
      <c r="K8" s="4">
        <v>217</v>
      </c>
      <c r="L8" s="4">
        <v>130</v>
      </c>
      <c r="M8" s="4">
        <v>117</v>
      </c>
      <c r="N8" s="4">
        <v>185</v>
      </c>
      <c r="O8" s="4">
        <v>858</v>
      </c>
      <c r="P8" s="4">
        <v>4192</v>
      </c>
      <c r="Q8" s="4">
        <v>72495</v>
      </c>
      <c r="R8" s="4">
        <f t="shared" si="0"/>
        <v>261642</v>
      </c>
      <c r="S8" s="4">
        <f t="shared" si="1"/>
        <v>184097</v>
      </c>
      <c r="T8" s="4">
        <f t="shared" si="2"/>
        <v>189147</v>
      </c>
      <c r="U8" s="6">
        <f t="shared" si="3"/>
        <v>2.669881097770517E-2</v>
      </c>
      <c r="V8" s="6">
        <f t="shared" si="4"/>
        <v>0.27707707478157179</v>
      </c>
    </row>
    <row r="9" spans="1:22" ht="21" customHeight="1">
      <c r="A9" s="2" t="s">
        <v>13</v>
      </c>
      <c r="B9" s="4">
        <v>46457</v>
      </c>
      <c r="C9" s="4">
        <v>42589</v>
      </c>
      <c r="D9" s="4">
        <v>12702</v>
      </c>
      <c r="E9" s="4">
        <v>892</v>
      </c>
      <c r="F9" s="4">
        <v>1226</v>
      </c>
      <c r="G9" s="4">
        <v>172</v>
      </c>
      <c r="H9" s="4">
        <v>197</v>
      </c>
      <c r="I9" s="4">
        <v>167</v>
      </c>
      <c r="J9" s="4">
        <v>188</v>
      </c>
      <c r="K9" s="4">
        <v>57</v>
      </c>
      <c r="L9" s="4">
        <v>109</v>
      </c>
      <c r="M9" s="4">
        <v>68</v>
      </c>
      <c r="N9" s="4">
        <v>71</v>
      </c>
      <c r="O9" s="4">
        <v>699</v>
      </c>
      <c r="P9" s="4">
        <v>2661</v>
      </c>
      <c r="Q9" s="4">
        <v>46809</v>
      </c>
      <c r="R9" s="4">
        <f t="shared" si="0"/>
        <v>155064</v>
      </c>
      <c r="S9" s="4">
        <f t="shared" si="1"/>
        <v>104895</v>
      </c>
      <c r="T9" s="4">
        <f t="shared" si="2"/>
        <v>108255</v>
      </c>
      <c r="U9" s="6">
        <f t="shared" si="3"/>
        <v>3.1037827352085354E-2</v>
      </c>
      <c r="V9" s="6">
        <f t="shared" si="4"/>
        <v>0.3018689057421452</v>
      </c>
    </row>
    <row r="10" spans="1:22" ht="21" customHeight="1">
      <c r="A10" s="2" t="s">
        <v>14</v>
      </c>
      <c r="B10" s="4">
        <v>54592</v>
      </c>
      <c r="C10" s="4">
        <v>40600</v>
      </c>
      <c r="D10" s="4">
        <v>50224</v>
      </c>
      <c r="E10" s="4">
        <v>2438</v>
      </c>
      <c r="F10" s="4">
        <v>1591</v>
      </c>
      <c r="G10" s="4">
        <v>543</v>
      </c>
      <c r="H10" s="4">
        <v>376</v>
      </c>
      <c r="I10" s="4">
        <v>380</v>
      </c>
      <c r="J10" s="4">
        <v>213</v>
      </c>
      <c r="K10" s="4">
        <v>183</v>
      </c>
      <c r="L10" s="4">
        <v>78</v>
      </c>
      <c r="M10" s="4">
        <v>81</v>
      </c>
      <c r="N10" s="4">
        <v>39</v>
      </c>
      <c r="O10" s="4">
        <v>502</v>
      </c>
      <c r="P10" s="4">
        <v>2404</v>
      </c>
      <c r="Q10" s="4">
        <v>60852</v>
      </c>
      <c r="R10" s="4">
        <f t="shared" si="0"/>
        <v>215096</v>
      </c>
      <c r="S10" s="4">
        <f t="shared" si="1"/>
        <v>151338</v>
      </c>
      <c r="T10" s="4">
        <f t="shared" si="2"/>
        <v>154244</v>
      </c>
      <c r="U10" s="6">
        <f t="shared" si="3"/>
        <v>1.8840279038406682E-2</v>
      </c>
      <c r="V10" s="6">
        <f t="shared" si="4"/>
        <v>0.28290623721501096</v>
      </c>
    </row>
    <row r="11" spans="1:22" ht="21" customHeight="1">
      <c r="A11" s="2" t="s">
        <v>15</v>
      </c>
      <c r="B11" s="4">
        <v>47538</v>
      </c>
      <c r="C11" s="4">
        <v>27844</v>
      </c>
      <c r="D11" s="4">
        <v>14600</v>
      </c>
      <c r="E11" s="4">
        <v>2756</v>
      </c>
      <c r="F11" s="4">
        <v>3036</v>
      </c>
      <c r="G11" s="4">
        <v>317</v>
      </c>
      <c r="H11" s="4">
        <v>381</v>
      </c>
      <c r="I11" s="4">
        <v>596</v>
      </c>
      <c r="J11" s="4">
        <v>305</v>
      </c>
      <c r="K11" s="4">
        <v>166</v>
      </c>
      <c r="L11" s="4">
        <v>194</v>
      </c>
      <c r="M11" s="4">
        <v>103</v>
      </c>
      <c r="N11" s="4">
        <v>70</v>
      </c>
      <c r="O11" s="4">
        <v>952</v>
      </c>
      <c r="P11" s="4">
        <v>3514</v>
      </c>
      <c r="Q11" s="4">
        <v>72967</v>
      </c>
      <c r="R11" s="4">
        <f t="shared" si="0"/>
        <v>175339</v>
      </c>
      <c r="S11" s="4">
        <f t="shared" si="1"/>
        <v>97906</v>
      </c>
      <c r="T11" s="4">
        <f t="shared" si="2"/>
        <v>102372</v>
      </c>
      <c r="U11" s="6">
        <f t="shared" si="3"/>
        <v>4.3625210018364398E-2</v>
      </c>
      <c r="V11" s="6">
        <f t="shared" si="4"/>
        <v>0.41614814730322403</v>
      </c>
    </row>
    <row r="12" spans="1:22" ht="21" customHeight="1">
      <c r="A12" s="2" t="s">
        <v>16</v>
      </c>
      <c r="B12" s="4">
        <v>54418</v>
      </c>
      <c r="C12" s="4">
        <v>40892</v>
      </c>
      <c r="D12" s="4">
        <v>19060</v>
      </c>
      <c r="E12" s="4">
        <v>3038</v>
      </c>
      <c r="F12" s="4">
        <v>1997</v>
      </c>
      <c r="G12" s="4">
        <v>261</v>
      </c>
      <c r="H12" s="4">
        <v>346</v>
      </c>
      <c r="I12" s="4">
        <v>309</v>
      </c>
      <c r="J12" s="4">
        <v>271</v>
      </c>
      <c r="K12" s="4">
        <v>111</v>
      </c>
      <c r="L12" s="4">
        <v>132</v>
      </c>
      <c r="M12" s="4">
        <v>73</v>
      </c>
      <c r="N12" s="4">
        <v>90</v>
      </c>
      <c r="O12" s="4">
        <v>886</v>
      </c>
      <c r="P12" s="4">
        <v>3989</v>
      </c>
      <c r="Q12" s="4">
        <v>80476</v>
      </c>
      <c r="R12" s="4">
        <f t="shared" si="0"/>
        <v>206349</v>
      </c>
      <c r="S12" s="4">
        <f t="shared" si="1"/>
        <v>120998</v>
      </c>
      <c r="T12" s="4">
        <f t="shared" si="2"/>
        <v>125873</v>
      </c>
      <c r="U12" s="6">
        <f t="shared" si="3"/>
        <v>3.8729513080644776E-2</v>
      </c>
      <c r="V12" s="6">
        <f t="shared" si="4"/>
        <v>0.38999946692254384</v>
      </c>
    </row>
    <row r="13" spans="1:22" ht="21" customHeight="1">
      <c r="A13" s="2" t="s">
        <v>17</v>
      </c>
      <c r="B13" s="4">
        <v>212596</v>
      </c>
      <c r="C13" s="4">
        <v>165637</v>
      </c>
      <c r="D13" s="4">
        <v>180492</v>
      </c>
      <c r="E13" s="4">
        <v>9143</v>
      </c>
      <c r="F13" s="4">
        <v>4607</v>
      </c>
      <c r="G13" s="4">
        <v>3279</v>
      </c>
      <c r="H13" s="4">
        <v>1410</v>
      </c>
      <c r="I13" s="4">
        <v>1268</v>
      </c>
      <c r="J13" s="4">
        <v>900</v>
      </c>
      <c r="K13" s="4">
        <v>742</v>
      </c>
      <c r="L13" s="4">
        <v>396</v>
      </c>
      <c r="M13" s="4">
        <v>336</v>
      </c>
      <c r="N13" s="4">
        <v>240</v>
      </c>
      <c r="O13" s="4">
        <v>2031</v>
      </c>
      <c r="P13" s="4">
        <v>10120</v>
      </c>
      <c r="Q13" s="4">
        <v>262626</v>
      </c>
      <c r="R13" s="4">
        <f t="shared" si="0"/>
        <v>855823</v>
      </c>
      <c r="S13" s="4">
        <f t="shared" si="1"/>
        <v>581046</v>
      </c>
      <c r="T13" s="4">
        <f t="shared" si="2"/>
        <v>593197</v>
      </c>
      <c r="U13" s="6">
        <f t="shared" si="3"/>
        <v>2.0483920181659718E-2</v>
      </c>
      <c r="V13" s="6">
        <f t="shared" si="4"/>
        <v>0.30686952792808792</v>
      </c>
    </row>
    <row r="14" spans="1:22" ht="21" customHeight="1">
      <c r="A14" s="2" t="s">
        <v>18</v>
      </c>
      <c r="B14" s="5">
        <f t="shared" ref="B14:T14" si="5">SUM(B7:B13)</f>
        <v>590277</v>
      </c>
      <c r="C14" s="5">
        <f t="shared" si="5"/>
        <v>475030</v>
      </c>
      <c r="D14" s="5">
        <f t="shared" si="5"/>
        <v>400681</v>
      </c>
      <c r="E14" s="5">
        <f t="shared" si="5"/>
        <v>25815</v>
      </c>
      <c r="F14" s="5">
        <f t="shared" si="5"/>
        <v>16404</v>
      </c>
      <c r="G14" s="5">
        <f t="shared" si="5"/>
        <v>6235</v>
      </c>
      <c r="H14" s="5">
        <f t="shared" si="5"/>
        <v>4121</v>
      </c>
      <c r="I14" s="5">
        <f t="shared" si="5"/>
        <v>3970</v>
      </c>
      <c r="J14" s="5">
        <f t="shared" si="5"/>
        <v>2655</v>
      </c>
      <c r="K14" s="5">
        <f t="shared" si="5"/>
        <v>1680</v>
      </c>
      <c r="L14" s="5">
        <f t="shared" si="5"/>
        <v>1271</v>
      </c>
      <c r="M14" s="5">
        <f t="shared" si="5"/>
        <v>905</v>
      </c>
      <c r="N14" s="5">
        <f t="shared" si="5"/>
        <v>801</v>
      </c>
      <c r="O14" s="5">
        <f t="shared" si="5"/>
        <v>7241</v>
      </c>
      <c r="P14" s="5">
        <f t="shared" si="5"/>
        <v>32332</v>
      </c>
      <c r="Q14" s="5">
        <f t="shared" si="5"/>
        <v>710433</v>
      </c>
      <c r="R14" s="5">
        <f t="shared" si="5"/>
        <v>2279851</v>
      </c>
      <c r="S14" s="5">
        <f t="shared" si="5"/>
        <v>1529845</v>
      </c>
      <c r="T14" s="5">
        <f t="shared" si="5"/>
        <v>1569418</v>
      </c>
      <c r="U14" s="7">
        <f t="shared" si="3"/>
        <v>2.5215079730192977E-2</v>
      </c>
      <c r="V14" s="7">
        <f t="shared" si="4"/>
        <v>0.31161378528684552</v>
      </c>
    </row>
    <row r="15" spans="1:22" ht="21" customHeight="1">
      <c r="A15" s="2" t="s">
        <v>19</v>
      </c>
      <c r="B15" s="7">
        <f t="shared" ref="B15:N15" si="6">B14/$S$14</f>
        <v>0.38584104925662405</v>
      </c>
      <c r="C15" s="7">
        <f t="shared" si="6"/>
        <v>0.31050858093466988</v>
      </c>
      <c r="D15" s="7">
        <f t="shared" si="6"/>
        <v>0.26190953985534482</v>
      </c>
      <c r="E15" s="7">
        <f t="shared" si="6"/>
        <v>1.6874258503312426E-2</v>
      </c>
      <c r="F15" s="7">
        <f t="shared" si="6"/>
        <v>1.0722654909484293E-2</v>
      </c>
      <c r="G15" s="7">
        <f t="shared" si="6"/>
        <v>4.0755762838718956E-3</v>
      </c>
      <c r="H15" s="7">
        <f t="shared" si="6"/>
        <v>2.6937369472070701E-3</v>
      </c>
      <c r="I15" s="7">
        <f t="shared" si="6"/>
        <v>2.5950341374452969E-3</v>
      </c>
      <c r="J15" s="7">
        <f t="shared" si="6"/>
        <v>1.7354699332285297E-3</v>
      </c>
      <c r="K15" s="7">
        <f t="shared" si="6"/>
        <v>1.0981504662237024E-3</v>
      </c>
      <c r="L15" s="7">
        <f t="shared" si="6"/>
        <v>8.308031205775748E-4</v>
      </c>
      <c r="M15" s="7">
        <f t="shared" si="6"/>
        <v>5.9156319757883971E-4</v>
      </c>
      <c r="N15" s="7">
        <f t="shared" si="6"/>
        <v>5.2358245443165808E-4</v>
      </c>
      <c r="O15" s="1"/>
      <c r="P15" s="1"/>
      <c r="Q15" s="1"/>
      <c r="R15" s="1"/>
      <c r="S15" s="1"/>
      <c r="T15" s="1"/>
      <c r="U15" s="1"/>
      <c r="V15" s="1"/>
    </row>
    <row r="17" spans="1:22" ht="28" customHeight="1">
      <c r="A17" s="2" t="s">
        <v>65</v>
      </c>
      <c r="B17" s="3" t="s">
        <v>43</v>
      </c>
      <c r="C17" s="3" t="s">
        <v>1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7</v>
      </c>
      <c r="I17" s="3" t="s">
        <v>8</v>
      </c>
      <c r="J17" s="3" t="s">
        <v>9</v>
      </c>
      <c r="K17" s="3" t="s">
        <v>10</v>
      </c>
    </row>
    <row r="18" spans="1:22" ht="21" customHeight="1">
      <c r="A18" s="2" t="s">
        <v>11</v>
      </c>
      <c r="B18" s="4">
        <v>143920</v>
      </c>
      <c r="C18" s="4">
        <v>112826</v>
      </c>
      <c r="D18" s="4">
        <v>1089</v>
      </c>
      <c r="E18" s="4">
        <v>4340</v>
      </c>
      <c r="F18" s="4">
        <v>148363</v>
      </c>
      <c r="G18" s="4">
        <f t="shared" ref="G18:G24" si="7">I18+F18</f>
        <v>410538</v>
      </c>
      <c r="H18" s="4">
        <f t="shared" ref="H18:H24" si="8">SUM(B18:C18)</f>
        <v>256746</v>
      </c>
      <c r="I18" s="4">
        <f t="shared" ref="I18:I24" si="9">H18+D18+E18</f>
        <v>262175</v>
      </c>
      <c r="J18" s="6">
        <f t="shared" ref="J18:J25" si="10">(D18+E18)/I18</f>
        <v>2.0707542671879471E-2</v>
      </c>
      <c r="K18" s="6">
        <f t="shared" ref="K18:K25" si="11">F18/G18</f>
        <v>0.36138676565872102</v>
      </c>
    </row>
    <row r="19" spans="1:22" ht="21" customHeight="1">
      <c r="A19" s="2" t="s">
        <v>12</v>
      </c>
      <c r="B19" s="4">
        <v>89519</v>
      </c>
      <c r="C19" s="4">
        <v>71462</v>
      </c>
      <c r="D19" s="4">
        <v>742</v>
      </c>
      <c r="E19" s="4">
        <v>3618</v>
      </c>
      <c r="F19" s="4">
        <v>96301</v>
      </c>
      <c r="G19" s="4">
        <f t="shared" si="7"/>
        <v>261642</v>
      </c>
      <c r="H19" s="4">
        <f t="shared" si="8"/>
        <v>160981</v>
      </c>
      <c r="I19" s="4">
        <f t="shared" si="9"/>
        <v>165341</v>
      </c>
      <c r="J19" s="6">
        <f t="shared" si="10"/>
        <v>2.6369744951342981E-2</v>
      </c>
      <c r="K19" s="6">
        <f t="shared" si="11"/>
        <v>0.36806399584164623</v>
      </c>
    </row>
    <row r="20" spans="1:22" ht="21" customHeight="1">
      <c r="A20" s="2" t="s">
        <v>13</v>
      </c>
      <c r="B20" s="4">
        <v>54831</v>
      </c>
      <c r="C20" s="4">
        <v>41176</v>
      </c>
      <c r="D20" s="4">
        <v>280</v>
      </c>
      <c r="E20" s="4">
        <v>1089</v>
      </c>
      <c r="F20" s="4">
        <v>57688</v>
      </c>
      <c r="G20" s="4">
        <f t="shared" si="7"/>
        <v>155064</v>
      </c>
      <c r="H20" s="4">
        <f t="shared" si="8"/>
        <v>96007</v>
      </c>
      <c r="I20" s="4">
        <f t="shared" si="9"/>
        <v>97376</v>
      </c>
      <c r="J20" s="6">
        <f t="shared" si="10"/>
        <v>1.4058905685179099E-2</v>
      </c>
      <c r="K20" s="6">
        <f t="shared" si="11"/>
        <v>0.372027033998865</v>
      </c>
    </row>
    <row r="21" spans="1:22" ht="21" customHeight="1">
      <c r="A21" s="2" t="s">
        <v>14</v>
      </c>
      <c r="B21" s="4">
        <v>74713</v>
      </c>
      <c r="C21" s="4">
        <v>53837</v>
      </c>
      <c r="D21" s="4">
        <v>682</v>
      </c>
      <c r="E21" s="4">
        <v>3285</v>
      </c>
      <c r="F21" s="4">
        <v>82579</v>
      </c>
      <c r="G21" s="4">
        <f t="shared" si="7"/>
        <v>215096</v>
      </c>
      <c r="H21" s="4">
        <f t="shared" si="8"/>
        <v>128550</v>
      </c>
      <c r="I21" s="4">
        <f t="shared" si="9"/>
        <v>132517</v>
      </c>
      <c r="J21" s="6">
        <f t="shared" si="10"/>
        <v>2.9935781824218778E-2</v>
      </c>
      <c r="K21" s="6">
        <f t="shared" si="11"/>
        <v>0.38391694871127313</v>
      </c>
    </row>
    <row r="22" spans="1:22" ht="21" customHeight="1">
      <c r="A22" s="2" t="s">
        <v>15</v>
      </c>
      <c r="B22" s="4">
        <v>62158</v>
      </c>
      <c r="C22" s="4">
        <v>30661</v>
      </c>
      <c r="D22" s="4">
        <v>353</v>
      </c>
      <c r="E22" s="4">
        <v>1347</v>
      </c>
      <c r="F22" s="4">
        <v>80820</v>
      </c>
      <c r="G22" s="4">
        <f t="shared" si="7"/>
        <v>175339</v>
      </c>
      <c r="H22" s="4">
        <f t="shared" si="8"/>
        <v>92819</v>
      </c>
      <c r="I22" s="4">
        <f t="shared" si="9"/>
        <v>94519</v>
      </c>
      <c r="J22" s="6">
        <f t="shared" si="10"/>
        <v>1.7985801796464203E-2</v>
      </c>
      <c r="K22" s="6">
        <f t="shared" si="11"/>
        <v>0.46093567318166523</v>
      </c>
    </row>
    <row r="23" spans="1:22" ht="21" customHeight="1">
      <c r="A23" s="2" t="s">
        <v>16</v>
      </c>
      <c r="B23" s="4">
        <v>66755</v>
      </c>
      <c r="C23" s="4">
        <v>45100</v>
      </c>
      <c r="D23" s="4">
        <v>320</v>
      </c>
      <c r="E23" s="4">
        <v>1314</v>
      </c>
      <c r="F23" s="4">
        <v>92860</v>
      </c>
      <c r="G23" s="4">
        <f t="shared" si="7"/>
        <v>206349</v>
      </c>
      <c r="H23" s="4">
        <f t="shared" si="8"/>
        <v>111855</v>
      </c>
      <c r="I23" s="4">
        <f t="shared" si="9"/>
        <v>113489</v>
      </c>
      <c r="J23" s="6">
        <f t="shared" si="10"/>
        <v>1.4397871159319406E-2</v>
      </c>
      <c r="K23" s="6">
        <f t="shared" si="11"/>
        <v>0.45001429616814231</v>
      </c>
    </row>
    <row r="24" spans="1:22" ht="21" customHeight="1">
      <c r="A24" s="2" t="s">
        <v>17</v>
      </c>
      <c r="B24" s="4">
        <v>284382</v>
      </c>
      <c r="C24" s="4">
        <v>208140</v>
      </c>
      <c r="D24" s="4">
        <v>2540</v>
      </c>
      <c r="E24" s="4">
        <v>12464</v>
      </c>
      <c r="F24" s="4">
        <v>348297</v>
      </c>
      <c r="G24" s="4">
        <f t="shared" si="7"/>
        <v>855823</v>
      </c>
      <c r="H24" s="4">
        <f t="shared" si="8"/>
        <v>492522</v>
      </c>
      <c r="I24" s="4">
        <f t="shared" si="9"/>
        <v>507526</v>
      </c>
      <c r="J24" s="6">
        <f t="shared" si="10"/>
        <v>2.9563017461174401E-2</v>
      </c>
      <c r="K24" s="6">
        <f t="shared" si="11"/>
        <v>0.40697317085425372</v>
      </c>
    </row>
    <row r="25" spans="1:22" ht="21" customHeight="1">
      <c r="A25" s="2" t="s">
        <v>18</v>
      </c>
      <c r="B25" s="5">
        <f t="shared" ref="B25:I25" si="12">SUM(B18:B24)</f>
        <v>776278</v>
      </c>
      <c r="C25" s="5">
        <f t="shared" si="12"/>
        <v>563202</v>
      </c>
      <c r="D25" s="5">
        <f t="shared" si="12"/>
        <v>6006</v>
      </c>
      <c r="E25" s="5">
        <f t="shared" si="12"/>
        <v>27457</v>
      </c>
      <c r="F25" s="5">
        <f t="shared" si="12"/>
        <v>906908</v>
      </c>
      <c r="G25" s="5">
        <f t="shared" si="12"/>
        <v>2279851</v>
      </c>
      <c r="H25" s="5">
        <f t="shared" si="12"/>
        <v>1339480</v>
      </c>
      <c r="I25" s="5">
        <f t="shared" si="12"/>
        <v>1372943</v>
      </c>
      <c r="J25" s="7">
        <f t="shared" si="10"/>
        <v>2.437318956431549E-2</v>
      </c>
      <c r="K25" s="7">
        <f t="shared" si="11"/>
        <v>0.39779266276611935</v>
      </c>
    </row>
    <row r="26" spans="1:22" ht="21" customHeight="1">
      <c r="A26" s="2" t="s">
        <v>19</v>
      </c>
      <c r="B26" s="7">
        <f>B25/$H$25</f>
        <v>0.57953683518977517</v>
      </c>
      <c r="C26" s="7">
        <f>C25/$H$25</f>
        <v>0.42046316481022489</v>
      </c>
      <c r="D26" s="1"/>
      <c r="E26" s="1"/>
      <c r="F26" s="1"/>
      <c r="G26" s="1"/>
      <c r="H26" s="1"/>
      <c r="I26" s="1"/>
      <c r="J26" s="1"/>
      <c r="K26" s="1"/>
    </row>
    <row r="28" spans="1:22" ht="18" customHeight="1">
      <c r="A28" s="9" t="s">
        <v>66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</sheetData>
  <mergeCells count="2">
    <mergeCell ref="A5:V5"/>
    <mergeCell ref="A28:V2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5:W17"/>
  <sheetViews>
    <sheetView workbookViewId="0"/>
  </sheetViews>
  <sheetFormatPr baseColWidth="10" defaultColWidth="8.83203125" defaultRowHeight="14"/>
  <cols>
    <col min="1" max="1" width="27" customWidth="1"/>
    <col min="2" max="2" width="86" customWidth="1"/>
    <col min="3" max="3" width="74" customWidth="1"/>
    <col min="4" max="4" width="94" customWidth="1"/>
    <col min="5" max="5" width="102" customWidth="1"/>
    <col min="6" max="6" width="90" customWidth="1"/>
    <col min="7" max="8" width="66" customWidth="1"/>
    <col min="9" max="9" width="106" customWidth="1"/>
    <col min="10" max="10" width="90" customWidth="1"/>
    <col min="11" max="11" width="138" customWidth="1"/>
    <col min="12" max="12" width="82" customWidth="1"/>
    <col min="13" max="13" width="74" customWidth="1"/>
    <col min="14" max="14" width="110" customWidth="1"/>
    <col min="15" max="15" width="74" customWidth="1"/>
    <col min="16" max="21" width="20" customWidth="1"/>
    <col min="22" max="23" width="22" customWidth="1"/>
  </cols>
  <sheetData>
    <row r="5" spans="1:23" ht="28" customHeight="1">
      <c r="A5" s="8">
        <v>2006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ht="28" customHeight="1">
      <c r="A6" s="2" t="s">
        <v>0</v>
      </c>
      <c r="B6" s="3" t="s">
        <v>1</v>
      </c>
      <c r="C6" s="3" t="s">
        <v>60</v>
      </c>
      <c r="D6" s="3" t="s">
        <v>55</v>
      </c>
      <c r="E6" s="3" t="s">
        <v>43</v>
      </c>
      <c r="F6" s="3" t="s">
        <v>67</v>
      </c>
      <c r="G6" s="3" t="s">
        <v>21</v>
      </c>
      <c r="H6" s="3" t="s">
        <v>68</v>
      </c>
      <c r="I6" s="3" t="s">
        <v>54</v>
      </c>
      <c r="J6" s="3" t="s">
        <v>53</v>
      </c>
      <c r="K6" s="3" t="s">
        <v>69</v>
      </c>
      <c r="L6" s="3" t="s">
        <v>50</v>
      </c>
      <c r="M6" s="3" t="s">
        <v>58</v>
      </c>
      <c r="N6" s="3" t="s">
        <v>70</v>
      </c>
      <c r="O6" s="3" t="s">
        <v>71</v>
      </c>
      <c r="P6" s="3" t="s">
        <v>3</v>
      </c>
      <c r="Q6" s="3" t="s">
        <v>4</v>
      </c>
      <c r="R6" s="3" t="s">
        <v>5</v>
      </c>
      <c r="S6" s="3" t="s">
        <v>6</v>
      </c>
      <c r="T6" s="3" t="s">
        <v>7</v>
      </c>
      <c r="U6" s="3" t="s">
        <v>8</v>
      </c>
      <c r="V6" s="3" t="s">
        <v>9</v>
      </c>
      <c r="W6" s="3" t="s">
        <v>10</v>
      </c>
    </row>
    <row r="7" spans="1:23" ht="21" customHeight="1">
      <c r="A7" s="2" t="s">
        <v>11</v>
      </c>
      <c r="B7" s="4">
        <v>125364</v>
      </c>
      <c r="C7" s="4">
        <v>135750</v>
      </c>
      <c r="D7" s="4">
        <v>20388</v>
      </c>
      <c r="E7" s="4">
        <v>8425</v>
      </c>
      <c r="F7" s="4">
        <v>6780</v>
      </c>
      <c r="G7" s="4">
        <v>4161</v>
      </c>
      <c r="H7" s="4">
        <v>3166</v>
      </c>
      <c r="I7" s="4">
        <v>2711</v>
      </c>
      <c r="J7" s="4">
        <v>512</v>
      </c>
      <c r="K7" s="4">
        <v>867</v>
      </c>
      <c r="L7" s="4">
        <v>423</v>
      </c>
      <c r="M7" s="4">
        <v>402</v>
      </c>
      <c r="N7" s="4">
        <v>290</v>
      </c>
      <c r="O7" s="4">
        <v>341</v>
      </c>
      <c r="P7" s="4">
        <v>1551</v>
      </c>
      <c r="Q7" s="4">
        <v>5651</v>
      </c>
      <c r="R7" s="4">
        <v>149089</v>
      </c>
      <c r="S7" s="4">
        <f t="shared" ref="S7:S13" si="0">U7+R7</f>
        <v>465871</v>
      </c>
      <c r="T7" s="4">
        <f t="shared" ref="T7:T13" si="1">SUM(B7:O7)</f>
        <v>309580</v>
      </c>
      <c r="U7" s="4">
        <f t="shared" ref="U7:U13" si="2">T7+P7+Q7</f>
        <v>316782</v>
      </c>
      <c r="V7" s="6">
        <f t="shared" ref="V7:V14" si="3">(P7+Q7)/U7</f>
        <v>2.2734877612995689E-2</v>
      </c>
      <c r="W7" s="6">
        <f t="shared" ref="W7:W14" si="4">R7/S7</f>
        <v>0.32002206619428986</v>
      </c>
    </row>
    <row r="8" spans="1:23" ht="21" customHeight="1">
      <c r="A8" s="2" t="s">
        <v>12</v>
      </c>
      <c r="B8" s="4">
        <v>82504</v>
      </c>
      <c r="C8" s="4">
        <v>77175</v>
      </c>
      <c r="D8" s="4">
        <v>20908</v>
      </c>
      <c r="E8" s="4">
        <v>6610</v>
      </c>
      <c r="F8" s="4">
        <v>5623</v>
      </c>
      <c r="G8" s="4">
        <v>3574</v>
      </c>
      <c r="H8" s="4">
        <v>2616</v>
      </c>
      <c r="I8" s="4">
        <v>829</v>
      </c>
      <c r="J8" s="4">
        <v>651</v>
      </c>
      <c r="K8" s="4">
        <v>442</v>
      </c>
      <c r="L8" s="4">
        <v>386</v>
      </c>
      <c r="M8" s="4">
        <v>294</v>
      </c>
      <c r="N8" s="4">
        <v>248</v>
      </c>
      <c r="O8" s="4">
        <v>171</v>
      </c>
      <c r="P8" s="4">
        <v>933</v>
      </c>
      <c r="Q8" s="4">
        <v>3616</v>
      </c>
      <c r="R8" s="4">
        <v>88614</v>
      </c>
      <c r="S8" s="4">
        <f t="shared" si="0"/>
        <v>295194</v>
      </c>
      <c r="T8" s="4">
        <f t="shared" si="1"/>
        <v>202031</v>
      </c>
      <c r="U8" s="4">
        <f t="shared" si="2"/>
        <v>206580</v>
      </c>
      <c r="V8" s="6">
        <f t="shared" si="3"/>
        <v>2.202052473617969E-2</v>
      </c>
      <c r="W8" s="6">
        <f t="shared" si="4"/>
        <v>0.30018902823228116</v>
      </c>
    </row>
    <row r="9" spans="1:23" ht="21" customHeight="1">
      <c r="A9" s="2" t="s">
        <v>13</v>
      </c>
      <c r="B9" s="4">
        <v>52210</v>
      </c>
      <c r="C9" s="4">
        <v>32712</v>
      </c>
      <c r="D9" s="4">
        <v>6779</v>
      </c>
      <c r="E9" s="4">
        <v>6181</v>
      </c>
      <c r="F9" s="4">
        <v>1677</v>
      </c>
      <c r="G9" s="4">
        <v>1194</v>
      </c>
      <c r="H9" s="4">
        <v>793</v>
      </c>
      <c r="I9" s="4">
        <v>2030</v>
      </c>
      <c r="J9" s="4">
        <v>135</v>
      </c>
      <c r="K9" s="4">
        <v>322</v>
      </c>
      <c r="L9" s="4">
        <v>150</v>
      </c>
      <c r="M9" s="4">
        <v>147</v>
      </c>
      <c r="N9" s="4">
        <v>94</v>
      </c>
      <c r="O9" s="4">
        <v>211</v>
      </c>
      <c r="P9" s="4">
        <v>960</v>
      </c>
      <c r="Q9" s="4">
        <v>2865</v>
      </c>
      <c r="R9" s="4">
        <v>66170</v>
      </c>
      <c r="S9" s="4">
        <f t="shared" si="0"/>
        <v>174630</v>
      </c>
      <c r="T9" s="4">
        <f t="shared" si="1"/>
        <v>104635</v>
      </c>
      <c r="U9" s="4">
        <f t="shared" si="2"/>
        <v>108460</v>
      </c>
      <c r="V9" s="6">
        <f t="shared" si="3"/>
        <v>3.526645768025078E-2</v>
      </c>
      <c r="W9" s="6">
        <f t="shared" si="4"/>
        <v>0.37891542117620108</v>
      </c>
    </row>
    <row r="10" spans="1:23" ht="21" customHeight="1">
      <c r="A10" s="2" t="s">
        <v>14</v>
      </c>
      <c r="B10" s="4">
        <v>66122</v>
      </c>
      <c r="C10" s="4">
        <v>73692</v>
      </c>
      <c r="D10" s="4">
        <v>13055</v>
      </c>
      <c r="E10" s="4">
        <v>4717</v>
      </c>
      <c r="F10" s="4">
        <v>3985</v>
      </c>
      <c r="G10" s="4">
        <v>2559</v>
      </c>
      <c r="H10" s="4">
        <v>1570</v>
      </c>
      <c r="I10" s="4">
        <v>1175</v>
      </c>
      <c r="J10" s="4">
        <v>446</v>
      </c>
      <c r="K10" s="4">
        <v>452</v>
      </c>
      <c r="L10" s="4">
        <v>294</v>
      </c>
      <c r="M10" s="4">
        <v>228</v>
      </c>
      <c r="N10" s="4">
        <v>203</v>
      </c>
      <c r="O10" s="4">
        <v>137</v>
      </c>
      <c r="P10" s="4">
        <v>626</v>
      </c>
      <c r="Q10" s="4">
        <v>2418</v>
      </c>
      <c r="R10" s="4">
        <v>74314</v>
      </c>
      <c r="S10" s="4">
        <f t="shared" si="0"/>
        <v>245993</v>
      </c>
      <c r="T10" s="4">
        <f t="shared" si="1"/>
        <v>168635</v>
      </c>
      <c r="U10" s="4">
        <f t="shared" si="2"/>
        <v>171679</v>
      </c>
      <c r="V10" s="6">
        <f t="shared" si="3"/>
        <v>1.7730764974166903E-2</v>
      </c>
      <c r="W10" s="6">
        <f t="shared" si="4"/>
        <v>0.30209802717963519</v>
      </c>
    </row>
    <row r="11" spans="1:23" ht="21" customHeight="1">
      <c r="A11" s="2" t="s">
        <v>15</v>
      </c>
      <c r="B11" s="4">
        <v>42606</v>
      </c>
      <c r="C11" s="4">
        <v>31191</v>
      </c>
      <c r="D11" s="4">
        <v>14252</v>
      </c>
      <c r="E11" s="4">
        <v>6807</v>
      </c>
      <c r="F11" s="4">
        <v>2894</v>
      </c>
      <c r="G11" s="4">
        <v>1967</v>
      </c>
      <c r="H11" s="4">
        <v>1265</v>
      </c>
      <c r="I11" s="4">
        <v>2861</v>
      </c>
      <c r="J11" s="4">
        <v>272</v>
      </c>
      <c r="K11" s="4">
        <v>236</v>
      </c>
      <c r="L11" s="4">
        <v>322</v>
      </c>
      <c r="M11" s="4">
        <v>185</v>
      </c>
      <c r="N11" s="4">
        <v>413</v>
      </c>
      <c r="O11" s="4">
        <v>237</v>
      </c>
      <c r="P11" s="4">
        <v>1082</v>
      </c>
      <c r="Q11" s="4">
        <v>3649</v>
      </c>
      <c r="R11" s="4">
        <v>90349</v>
      </c>
      <c r="S11" s="4">
        <f t="shared" si="0"/>
        <v>200588</v>
      </c>
      <c r="T11" s="4">
        <f t="shared" si="1"/>
        <v>105508</v>
      </c>
      <c r="U11" s="4">
        <f t="shared" si="2"/>
        <v>110239</v>
      </c>
      <c r="V11" s="6">
        <f t="shared" si="3"/>
        <v>4.2915846479013781E-2</v>
      </c>
      <c r="W11" s="6">
        <f t="shared" si="4"/>
        <v>0.4504207629569067</v>
      </c>
    </row>
    <row r="12" spans="1:23" ht="21" customHeight="1">
      <c r="A12" s="2" t="s">
        <v>16</v>
      </c>
      <c r="B12" s="4">
        <v>57872</v>
      </c>
      <c r="C12" s="4">
        <v>36886</v>
      </c>
      <c r="D12" s="4">
        <v>11813</v>
      </c>
      <c r="E12" s="4">
        <v>7987</v>
      </c>
      <c r="F12" s="4">
        <v>2176</v>
      </c>
      <c r="G12" s="4">
        <v>1264</v>
      </c>
      <c r="H12" s="4">
        <v>1311</v>
      </c>
      <c r="I12" s="4">
        <v>2047</v>
      </c>
      <c r="J12" s="4">
        <v>168</v>
      </c>
      <c r="K12" s="4">
        <v>287</v>
      </c>
      <c r="L12" s="4">
        <v>316</v>
      </c>
      <c r="M12" s="4">
        <v>121</v>
      </c>
      <c r="N12" s="4">
        <v>165</v>
      </c>
      <c r="O12" s="4">
        <v>191</v>
      </c>
      <c r="P12" s="4">
        <v>1260</v>
      </c>
      <c r="Q12" s="4">
        <v>3519</v>
      </c>
      <c r="R12" s="4">
        <v>104128</v>
      </c>
      <c r="S12" s="4">
        <f t="shared" si="0"/>
        <v>231511</v>
      </c>
      <c r="T12" s="4">
        <f t="shared" si="1"/>
        <v>122604</v>
      </c>
      <c r="U12" s="4">
        <f t="shared" si="2"/>
        <v>127383</v>
      </c>
      <c r="V12" s="6">
        <f t="shared" si="3"/>
        <v>3.7516780104095523E-2</v>
      </c>
      <c r="W12" s="6">
        <f t="shared" si="4"/>
        <v>0.44977560461489952</v>
      </c>
    </row>
    <row r="13" spans="1:23" ht="21" customHeight="1">
      <c r="A13" s="2" t="s">
        <v>17</v>
      </c>
      <c r="B13" s="4">
        <v>237873</v>
      </c>
      <c r="C13" s="4">
        <v>258976</v>
      </c>
      <c r="D13" s="4">
        <v>50515</v>
      </c>
      <c r="E13" s="4">
        <v>16928</v>
      </c>
      <c r="F13" s="4">
        <v>16422</v>
      </c>
      <c r="G13" s="4">
        <v>11874</v>
      </c>
      <c r="H13" s="4">
        <v>6873</v>
      </c>
      <c r="I13" s="4">
        <v>3886</v>
      </c>
      <c r="J13" s="4">
        <v>2952</v>
      </c>
      <c r="K13" s="4">
        <v>1064</v>
      </c>
      <c r="L13" s="4">
        <v>1129</v>
      </c>
      <c r="M13" s="4">
        <v>1053</v>
      </c>
      <c r="N13" s="4">
        <v>878</v>
      </c>
      <c r="O13" s="4">
        <v>576</v>
      </c>
      <c r="P13" s="4">
        <v>2422</v>
      </c>
      <c r="Q13" s="4">
        <v>8704</v>
      </c>
      <c r="R13" s="4">
        <v>314701</v>
      </c>
      <c r="S13" s="4">
        <f t="shared" si="0"/>
        <v>936826</v>
      </c>
      <c r="T13" s="4">
        <f t="shared" si="1"/>
        <v>610999</v>
      </c>
      <c r="U13" s="4">
        <f t="shared" si="2"/>
        <v>622125</v>
      </c>
      <c r="V13" s="6">
        <f t="shared" si="3"/>
        <v>1.7883865782599959E-2</v>
      </c>
      <c r="W13" s="6">
        <f t="shared" si="4"/>
        <v>0.33592257260152897</v>
      </c>
    </row>
    <row r="14" spans="1:23" ht="21" customHeight="1">
      <c r="A14" s="2" t="s">
        <v>18</v>
      </c>
      <c r="B14" s="5">
        <f t="shared" ref="B14:U14" si="5">SUM(B7:B13)</f>
        <v>664551</v>
      </c>
      <c r="C14" s="5">
        <f t="shared" si="5"/>
        <v>646382</v>
      </c>
      <c r="D14" s="5">
        <f t="shared" si="5"/>
        <v>137710</v>
      </c>
      <c r="E14" s="5">
        <f t="shared" si="5"/>
        <v>57655</v>
      </c>
      <c r="F14" s="5">
        <f t="shared" si="5"/>
        <v>39557</v>
      </c>
      <c r="G14" s="5">
        <f t="shared" si="5"/>
        <v>26593</v>
      </c>
      <c r="H14" s="5">
        <f t="shared" si="5"/>
        <v>17594</v>
      </c>
      <c r="I14" s="5">
        <f t="shared" si="5"/>
        <v>15539</v>
      </c>
      <c r="J14" s="5">
        <f t="shared" si="5"/>
        <v>5136</v>
      </c>
      <c r="K14" s="5">
        <f t="shared" si="5"/>
        <v>3670</v>
      </c>
      <c r="L14" s="5">
        <f t="shared" si="5"/>
        <v>3020</v>
      </c>
      <c r="M14" s="5">
        <f t="shared" si="5"/>
        <v>2430</v>
      </c>
      <c r="N14" s="5">
        <f t="shared" si="5"/>
        <v>2291</v>
      </c>
      <c r="O14" s="5">
        <f t="shared" si="5"/>
        <v>1864</v>
      </c>
      <c r="P14" s="5">
        <f t="shared" si="5"/>
        <v>8834</v>
      </c>
      <c r="Q14" s="5">
        <f t="shared" si="5"/>
        <v>30422</v>
      </c>
      <c r="R14" s="5">
        <f t="shared" si="5"/>
        <v>887365</v>
      </c>
      <c r="S14" s="5">
        <f t="shared" si="5"/>
        <v>2550613</v>
      </c>
      <c r="T14" s="5">
        <f t="shared" si="5"/>
        <v>1623992</v>
      </c>
      <c r="U14" s="5">
        <f t="shared" si="5"/>
        <v>1663248</v>
      </c>
      <c r="V14" s="7">
        <f t="shared" si="3"/>
        <v>2.36020124479332E-2</v>
      </c>
      <c r="W14" s="7">
        <f t="shared" si="4"/>
        <v>0.34790264144344907</v>
      </c>
    </row>
    <row r="15" spans="1:23" ht="21" customHeight="1">
      <c r="A15" s="2" t="s">
        <v>19</v>
      </c>
      <c r="B15" s="7">
        <f t="shared" ref="B15:O15" si="6">B14/$T$14</f>
        <v>0.40920829659259406</v>
      </c>
      <c r="C15" s="7">
        <f t="shared" si="6"/>
        <v>0.39802043359819506</v>
      </c>
      <c r="D15" s="7">
        <f t="shared" si="6"/>
        <v>8.4797215749831276E-2</v>
      </c>
      <c r="E15" s="7">
        <f t="shared" si="6"/>
        <v>3.5502022177449147E-2</v>
      </c>
      <c r="F15" s="7">
        <f t="shared" si="6"/>
        <v>2.4357878610239459E-2</v>
      </c>
      <c r="G15" s="7">
        <f t="shared" si="6"/>
        <v>1.6375080665421995E-2</v>
      </c>
      <c r="H15" s="7">
        <f t="shared" si="6"/>
        <v>1.0833797210823698E-2</v>
      </c>
      <c r="I15" s="7">
        <f t="shared" si="6"/>
        <v>9.5683968886546237E-3</v>
      </c>
      <c r="J15" s="7">
        <f t="shared" si="6"/>
        <v>3.1625771555524903E-3</v>
      </c>
      <c r="K15" s="7">
        <f t="shared" si="6"/>
        <v>2.2598633490805375E-3</v>
      </c>
      <c r="L15" s="7">
        <f t="shared" si="6"/>
        <v>1.8596150719954285E-3</v>
      </c>
      <c r="M15" s="7">
        <f t="shared" si="6"/>
        <v>1.4963127897181759E-3</v>
      </c>
      <c r="N15" s="7">
        <f t="shared" si="6"/>
        <v>1.4107212350799759E-3</v>
      </c>
      <c r="O15" s="7">
        <f t="shared" si="6"/>
        <v>1.1477889053640659E-3</v>
      </c>
      <c r="P15" s="1"/>
      <c r="Q15" s="1"/>
      <c r="R15" s="1"/>
      <c r="S15" s="1"/>
      <c r="T15" s="1"/>
      <c r="U15" s="1"/>
      <c r="V15" s="1"/>
      <c r="W15" s="1"/>
    </row>
    <row r="17" spans="1:23" ht="18" customHeight="1">
      <c r="A17" s="9" t="s">
        <v>72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</sheetData>
  <mergeCells count="2">
    <mergeCell ref="A5:W5"/>
    <mergeCell ref="A17:W1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5:R17"/>
  <sheetViews>
    <sheetView workbookViewId="0"/>
  </sheetViews>
  <sheetFormatPr baseColWidth="10" defaultColWidth="8.83203125" defaultRowHeight="14"/>
  <cols>
    <col min="1" max="1" width="27" customWidth="1"/>
    <col min="2" max="2" width="86" customWidth="1"/>
    <col min="3" max="3" width="74" customWidth="1"/>
    <col min="4" max="4" width="94" customWidth="1"/>
    <col min="5" max="5" width="102" customWidth="1"/>
    <col min="6" max="6" width="118" customWidth="1"/>
    <col min="7" max="7" width="106" customWidth="1"/>
    <col min="8" max="8" width="62" customWidth="1"/>
    <col min="9" max="9" width="82" customWidth="1"/>
    <col min="10" max="10" width="90" customWidth="1"/>
    <col min="11" max="16" width="20" customWidth="1"/>
    <col min="17" max="18" width="22" customWidth="1"/>
  </cols>
  <sheetData>
    <row r="5" spans="1:18" ht="28" customHeight="1">
      <c r="A5" s="8">
        <v>2010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ht="28" customHeight="1">
      <c r="A6" s="2" t="s">
        <v>0</v>
      </c>
      <c r="B6" s="3" t="s">
        <v>1</v>
      </c>
      <c r="C6" s="3" t="s">
        <v>60</v>
      </c>
      <c r="D6" s="3" t="s">
        <v>55</v>
      </c>
      <c r="E6" s="3" t="s">
        <v>43</v>
      </c>
      <c r="F6" s="3" t="s">
        <v>73</v>
      </c>
      <c r="G6" s="3" t="s">
        <v>54</v>
      </c>
      <c r="H6" s="3" t="s">
        <v>74</v>
      </c>
      <c r="I6" s="3" t="s">
        <v>75</v>
      </c>
      <c r="J6" s="3" t="s">
        <v>53</v>
      </c>
      <c r="K6" s="3" t="s">
        <v>3</v>
      </c>
      <c r="L6" s="3" t="s">
        <v>4</v>
      </c>
      <c r="M6" s="3" t="s">
        <v>5</v>
      </c>
      <c r="N6" s="3" t="s">
        <v>6</v>
      </c>
      <c r="O6" s="3" t="s">
        <v>7</v>
      </c>
      <c r="P6" s="3" t="s">
        <v>8</v>
      </c>
      <c r="Q6" s="3" t="s">
        <v>9</v>
      </c>
      <c r="R6" s="3" t="s">
        <v>10</v>
      </c>
    </row>
    <row r="7" spans="1:18" ht="21" customHeight="1">
      <c r="A7" s="2" t="s">
        <v>11</v>
      </c>
      <c r="B7" s="4">
        <v>166655</v>
      </c>
      <c r="C7" s="4">
        <v>97399</v>
      </c>
      <c r="D7" s="4">
        <v>80590</v>
      </c>
      <c r="E7" s="4">
        <v>11887</v>
      </c>
      <c r="F7" s="4">
        <v>6760</v>
      </c>
      <c r="G7" s="4">
        <v>2788</v>
      </c>
      <c r="H7" s="4">
        <v>830</v>
      </c>
      <c r="I7" s="4">
        <v>659</v>
      </c>
      <c r="J7" s="4">
        <v>275</v>
      </c>
      <c r="K7" s="4">
        <v>1311</v>
      </c>
      <c r="L7" s="4">
        <v>5798</v>
      </c>
      <c r="M7" s="4">
        <v>149263</v>
      </c>
      <c r="N7" s="4">
        <f t="shared" ref="N7:N13" si="0">P7+M7</f>
        <v>524215</v>
      </c>
      <c r="O7" s="4">
        <f t="shared" ref="O7:O13" si="1">SUM(B7:J7)</f>
        <v>367843</v>
      </c>
      <c r="P7" s="4">
        <f t="shared" ref="P7:P13" si="2">O7+K7+L7</f>
        <v>374952</v>
      </c>
      <c r="Q7" s="6">
        <f t="shared" ref="Q7:Q14" si="3">(K7+L7)/P7</f>
        <v>1.895976018263671E-2</v>
      </c>
      <c r="R7" s="6">
        <f t="shared" ref="R7:R14" si="4">M7/N7</f>
        <v>0.28473622464065318</v>
      </c>
    </row>
    <row r="8" spans="1:18" ht="21" customHeight="1">
      <c r="A8" s="2" t="s">
        <v>12</v>
      </c>
      <c r="B8" s="4">
        <v>118926</v>
      </c>
      <c r="C8" s="4">
        <v>56095</v>
      </c>
      <c r="D8" s="4">
        <v>46414</v>
      </c>
      <c r="E8" s="4">
        <v>10143</v>
      </c>
      <c r="F8" s="4">
        <v>5026</v>
      </c>
      <c r="G8" s="4">
        <v>977</v>
      </c>
      <c r="H8" s="4">
        <v>937</v>
      </c>
      <c r="I8" s="4">
        <v>388</v>
      </c>
      <c r="J8" s="4">
        <v>240</v>
      </c>
      <c r="K8" s="4">
        <v>796</v>
      </c>
      <c r="L8" s="4">
        <v>3763</v>
      </c>
      <c r="M8" s="4">
        <v>85077</v>
      </c>
      <c r="N8" s="4">
        <f t="shared" si="0"/>
        <v>328782</v>
      </c>
      <c r="O8" s="4">
        <f t="shared" si="1"/>
        <v>239146</v>
      </c>
      <c r="P8" s="4">
        <f t="shared" si="2"/>
        <v>243705</v>
      </c>
      <c r="Q8" s="6">
        <f t="shared" si="3"/>
        <v>1.8707043351593115E-2</v>
      </c>
      <c r="R8" s="6">
        <f t="shared" si="4"/>
        <v>0.25876416592149204</v>
      </c>
    </row>
    <row r="9" spans="1:18" ht="21" customHeight="1">
      <c r="A9" s="2" t="s">
        <v>13</v>
      </c>
      <c r="B9" s="4">
        <v>65843</v>
      </c>
      <c r="C9" s="4">
        <v>20341</v>
      </c>
      <c r="D9" s="4">
        <v>29841</v>
      </c>
      <c r="E9" s="4">
        <v>7777</v>
      </c>
      <c r="F9" s="4">
        <v>2038</v>
      </c>
      <c r="G9" s="4">
        <v>1510</v>
      </c>
      <c r="H9" s="4">
        <v>373</v>
      </c>
      <c r="I9" s="4">
        <v>305</v>
      </c>
      <c r="J9" s="4">
        <v>97</v>
      </c>
      <c r="K9" s="4">
        <v>752</v>
      </c>
      <c r="L9" s="4">
        <v>3063</v>
      </c>
      <c r="M9" s="4">
        <v>67297</v>
      </c>
      <c r="N9" s="4">
        <f t="shared" si="0"/>
        <v>199237</v>
      </c>
      <c r="O9" s="4">
        <f t="shared" si="1"/>
        <v>128125</v>
      </c>
      <c r="P9" s="4">
        <f t="shared" si="2"/>
        <v>131940</v>
      </c>
      <c r="Q9" s="6">
        <f t="shared" si="3"/>
        <v>2.8914658177959678E-2</v>
      </c>
      <c r="R9" s="6">
        <f t="shared" si="4"/>
        <v>0.33777360630806524</v>
      </c>
    </row>
    <row r="10" spans="1:18" ht="21" customHeight="1">
      <c r="A10" s="2" t="s">
        <v>14</v>
      </c>
      <c r="B10" s="4">
        <v>93471</v>
      </c>
      <c r="C10" s="4">
        <v>55425</v>
      </c>
      <c r="D10" s="4">
        <v>39016</v>
      </c>
      <c r="E10" s="4">
        <v>6382</v>
      </c>
      <c r="F10" s="4">
        <v>3677</v>
      </c>
      <c r="G10" s="4">
        <v>1164</v>
      </c>
      <c r="H10" s="4">
        <v>905</v>
      </c>
      <c r="I10" s="4">
        <v>288</v>
      </c>
      <c r="J10" s="4">
        <v>165</v>
      </c>
      <c r="K10" s="4">
        <v>568</v>
      </c>
      <c r="L10" s="4">
        <v>2644</v>
      </c>
      <c r="M10" s="4">
        <v>74839</v>
      </c>
      <c r="N10" s="4">
        <f t="shared" si="0"/>
        <v>278544</v>
      </c>
      <c r="O10" s="4">
        <f t="shared" si="1"/>
        <v>200493</v>
      </c>
      <c r="P10" s="4">
        <f t="shared" si="2"/>
        <v>203705</v>
      </c>
      <c r="Q10" s="6">
        <f t="shared" si="3"/>
        <v>1.5767899658820354E-2</v>
      </c>
      <c r="R10" s="6">
        <f t="shared" si="4"/>
        <v>0.26867927508759837</v>
      </c>
    </row>
    <row r="11" spans="1:18" ht="21" customHeight="1">
      <c r="A11" s="2" t="s">
        <v>15</v>
      </c>
      <c r="B11" s="4">
        <v>55214</v>
      </c>
      <c r="C11" s="4">
        <v>23221</v>
      </c>
      <c r="D11" s="4">
        <v>41733</v>
      </c>
      <c r="E11" s="4">
        <v>6640</v>
      </c>
      <c r="F11" s="4">
        <v>2268</v>
      </c>
      <c r="G11" s="4">
        <v>2523</v>
      </c>
      <c r="H11" s="4">
        <v>682</v>
      </c>
      <c r="I11" s="4">
        <v>345</v>
      </c>
      <c r="J11" s="4">
        <v>168</v>
      </c>
      <c r="K11" s="4">
        <v>882</v>
      </c>
      <c r="L11" s="4">
        <v>4045</v>
      </c>
      <c r="M11" s="4">
        <v>86407</v>
      </c>
      <c r="N11" s="4">
        <f t="shared" si="0"/>
        <v>224128</v>
      </c>
      <c r="O11" s="4">
        <f t="shared" si="1"/>
        <v>132794</v>
      </c>
      <c r="P11" s="4">
        <f t="shared" si="2"/>
        <v>137721</v>
      </c>
      <c r="Q11" s="6">
        <f t="shared" si="3"/>
        <v>3.5775226726497772E-2</v>
      </c>
      <c r="R11" s="6">
        <f t="shared" si="4"/>
        <v>0.38552523557966878</v>
      </c>
    </row>
    <row r="12" spans="1:18" ht="21" customHeight="1">
      <c r="A12" s="2" t="s">
        <v>16</v>
      </c>
      <c r="B12" s="4">
        <v>73431</v>
      </c>
      <c r="C12" s="4">
        <v>26014</v>
      </c>
      <c r="D12" s="4">
        <v>40078</v>
      </c>
      <c r="E12" s="4">
        <v>6676</v>
      </c>
      <c r="F12" s="4">
        <v>1881</v>
      </c>
      <c r="G12" s="4">
        <v>1131</v>
      </c>
      <c r="H12" s="4">
        <v>519</v>
      </c>
      <c r="I12" s="4">
        <v>303</v>
      </c>
      <c r="J12" s="4">
        <v>134</v>
      </c>
      <c r="K12" s="4">
        <v>805</v>
      </c>
      <c r="L12" s="4">
        <v>3568</v>
      </c>
      <c r="M12" s="4">
        <v>104868</v>
      </c>
      <c r="N12" s="4">
        <f t="shared" si="0"/>
        <v>259408</v>
      </c>
      <c r="O12" s="4">
        <f t="shared" si="1"/>
        <v>150167</v>
      </c>
      <c r="P12" s="4">
        <f t="shared" si="2"/>
        <v>154540</v>
      </c>
      <c r="Q12" s="6">
        <f t="shared" si="3"/>
        <v>2.829688106639058E-2</v>
      </c>
      <c r="R12" s="6">
        <f t="shared" si="4"/>
        <v>0.40425892802072411</v>
      </c>
    </row>
    <row r="13" spans="1:18" ht="21" customHeight="1">
      <c r="A13" s="2" t="s">
        <v>17</v>
      </c>
      <c r="B13" s="4">
        <v>322976</v>
      </c>
      <c r="C13" s="4">
        <v>200382</v>
      </c>
      <c r="D13" s="4">
        <v>122116</v>
      </c>
      <c r="E13" s="4">
        <v>24609</v>
      </c>
      <c r="F13" s="4">
        <v>14454</v>
      </c>
      <c r="G13" s="4">
        <v>3852</v>
      </c>
      <c r="H13" s="4">
        <v>2536</v>
      </c>
      <c r="I13" s="4">
        <v>870</v>
      </c>
      <c r="J13" s="4">
        <v>970</v>
      </c>
      <c r="K13" s="4">
        <v>1845</v>
      </c>
      <c r="L13" s="4">
        <v>9674</v>
      </c>
      <c r="M13" s="4">
        <v>303893</v>
      </c>
      <c r="N13" s="4">
        <f t="shared" si="0"/>
        <v>1008177</v>
      </c>
      <c r="O13" s="4">
        <f t="shared" si="1"/>
        <v>692765</v>
      </c>
      <c r="P13" s="4">
        <f t="shared" si="2"/>
        <v>704284</v>
      </c>
      <c r="Q13" s="6">
        <f t="shared" si="3"/>
        <v>1.6355617904140942E-2</v>
      </c>
      <c r="R13" s="6">
        <f t="shared" si="4"/>
        <v>0.30142822143333958</v>
      </c>
    </row>
    <row r="14" spans="1:18" ht="21" customHeight="1">
      <c r="A14" s="2" t="s">
        <v>18</v>
      </c>
      <c r="B14" s="5">
        <f t="shared" ref="B14:P14" si="5">SUM(B7:B13)</f>
        <v>896516</v>
      </c>
      <c r="C14" s="5">
        <f t="shared" si="5"/>
        <v>478877</v>
      </c>
      <c r="D14" s="5">
        <f t="shared" si="5"/>
        <v>399788</v>
      </c>
      <c r="E14" s="5">
        <f t="shared" si="5"/>
        <v>74114</v>
      </c>
      <c r="F14" s="5">
        <f t="shared" si="5"/>
        <v>36104</v>
      </c>
      <c r="G14" s="5">
        <f t="shared" si="5"/>
        <v>13945</v>
      </c>
      <c r="H14" s="5">
        <f t="shared" si="5"/>
        <v>6782</v>
      </c>
      <c r="I14" s="5">
        <f t="shared" si="5"/>
        <v>3158</v>
      </c>
      <c r="J14" s="5">
        <f t="shared" si="5"/>
        <v>2049</v>
      </c>
      <c r="K14" s="5">
        <f t="shared" si="5"/>
        <v>6959</v>
      </c>
      <c r="L14" s="5">
        <f t="shared" si="5"/>
        <v>32555</v>
      </c>
      <c r="M14" s="5">
        <f t="shared" si="5"/>
        <v>871644</v>
      </c>
      <c r="N14" s="5">
        <f t="shared" si="5"/>
        <v>2822491</v>
      </c>
      <c r="O14" s="5">
        <f t="shared" si="5"/>
        <v>1911333</v>
      </c>
      <c r="P14" s="5">
        <f t="shared" si="5"/>
        <v>1950847</v>
      </c>
      <c r="Q14" s="7">
        <f t="shared" si="3"/>
        <v>2.0254791892957265E-2</v>
      </c>
      <c r="R14" s="7">
        <f t="shared" si="4"/>
        <v>0.30882082529226845</v>
      </c>
    </row>
    <row r="15" spans="1:18" ht="21" customHeight="1">
      <c r="A15" s="2" t="s">
        <v>19</v>
      </c>
      <c r="B15" s="7">
        <f t="shared" ref="B15:J15" si="6">B14/$O$14</f>
        <v>0.46905275009639869</v>
      </c>
      <c r="C15" s="7">
        <f t="shared" si="6"/>
        <v>0.25054608485282259</v>
      </c>
      <c r="D15" s="7">
        <f t="shared" si="6"/>
        <v>0.20916711007448729</v>
      </c>
      <c r="E15" s="7">
        <f t="shared" si="6"/>
        <v>3.8776079312186837E-2</v>
      </c>
      <c r="F15" s="7">
        <f t="shared" si="6"/>
        <v>1.8889434755743766E-2</v>
      </c>
      <c r="G15" s="7">
        <f t="shared" si="6"/>
        <v>7.2959552312443724E-3</v>
      </c>
      <c r="H15" s="7">
        <f t="shared" si="6"/>
        <v>3.5483089550591134E-3</v>
      </c>
      <c r="I15" s="7">
        <f t="shared" si="6"/>
        <v>1.6522500265521497E-3</v>
      </c>
      <c r="J15" s="7">
        <f t="shared" si="6"/>
        <v>1.0720266955051789E-3</v>
      </c>
      <c r="K15" s="1"/>
      <c r="L15" s="1"/>
      <c r="M15" s="1"/>
      <c r="N15" s="1"/>
      <c r="O15" s="1"/>
      <c r="P15" s="1"/>
      <c r="Q15" s="1"/>
      <c r="R15" s="1"/>
    </row>
    <row r="17" spans="1:18" ht="18" customHeight="1">
      <c r="A17" s="9" t="s">
        <v>76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</sheetData>
  <mergeCells count="2">
    <mergeCell ref="A5:R5"/>
    <mergeCell ref="A17:R1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5:V29"/>
  <sheetViews>
    <sheetView tabSelected="1" workbookViewId="0"/>
  </sheetViews>
  <sheetFormatPr baseColWidth="10" defaultColWidth="8.83203125" defaultRowHeight="14"/>
  <cols>
    <col min="1" max="1" width="27" customWidth="1"/>
    <col min="2" max="2" width="74" customWidth="1"/>
    <col min="3" max="3" width="86" customWidth="1"/>
    <col min="4" max="4" width="62" customWidth="1"/>
    <col min="5" max="5" width="94" customWidth="1"/>
    <col min="6" max="6" width="102" customWidth="1"/>
    <col min="7" max="7" width="58" customWidth="1"/>
    <col min="8" max="8" width="94" customWidth="1"/>
    <col min="9" max="9" width="106" customWidth="1"/>
    <col min="10" max="10" width="118" customWidth="1"/>
    <col min="11" max="11" width="74" customWidth="1"/>
    <col min="12" max="12" width="86" customWidth="1"/>
    <col min="13" max="13" width="70" customWidth="1"/>
    <col min="14" max="14" width="90" customWidth="1"/>
    <col min="15" max="20" width="20" customWidth="1"/>
    <col min="21" max="22" width="22" customWidth="1"/>
  </cols>
  <sheetData>
    <row r="5" spans="1:22" ht="28" customHeight="1">
      <c r="A5" s="8">
        <v>2014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ht="28" customHeight="1">
      <c r="A6" s="2" t="s">
        <v>0</v>
      </c>
      <c r="B6" s="3" t="s">
        <v>60</v>
      </c>
      <c r="C6" s="3" t="s">
        <v>1</v>
      </c>
      <c r="D6" s="3" t="s">
        <v>74</v>
      </c>
      <c r="E6" s="3" t="s">
        <v>55</v>
      </c>
      <c r="F6" s="3" t="s">
        <v>43</v>
      </c>
      <c r="G6" s="3" t="s">
        <v>77</v>
      </c>
      <c r="H6" s="3" t="s">
        <v>78</v>
      </c>
      <c r="I6" s="3" t="s">
        <v>54</v>
      </c>
      <c r="J6" s="3" t="s">
        <v>73</v>
      </c>
      <c r="K6" s="3" t="s">
        <v>79</v>
      </c>
      <c r="L6" s="3" t="s">
        <v>80</v>
      </c>
      <c r="M6" s="3" t="s">
        <v>81</v>
      </c>
      <c r="N6" s="3" t="s">
        <v>53</v>
      </c>
      <c r="O6" s="3" t="s">
        <v>3</v>
      </c>
      <c r="P6" s="3" t="s">
        <v>4</v>
      </c>
      <c r="Q6" s="3" t="s">
        <v>5</v>
      </c>
      <c r="R6" s="3" t="s">
        <v>6</v>
      </c>
      <c r="S6" s="3" t="s">
        <v>7</v>
      </c>
      <c r="T6" s="3" t="s">
        <v>8</v>
      </c>
      <c r="U6" s="3" t="s">
        <v>9</v>
      </c>
      <c r="V6" s="3" t="s">
        <v>10</v>
      </c>
    </row>
    <row r="7" spans="1:22" ht="21" customHeight="1">
      <c r="A7" s="2" t="s">
        <v>11</v>
      </c>
      <c r="B7" s="4">
        <v>124172</v>
      </c>
      <c r="C7" s="4">
        <v>119081</v>
      </c>
      <c r="D7" s="4">
        <v>73333</v>
      </c>
      <c r="E7" s="4">
        <v>41389</v>
      </c>
      <c r="F7" s="4">
        <v>21443</v>
      </c>
      <c r="G7" s="4">
        <v>8511</v>
      </c>
      <c r="H7" s="4">
        <v>4577</v>
      </c>
      <c r="I7" s="4">
        <v>2592</v>
      </c>
      <c r="J7" s="4">
        <v>1729</v>
      </c>
      <c r="K7" s="4">
        <v>863</v>
      </c>
      <c r="L7" s="4">
        <v>1059</v>
      </c>
      <c r="M7" s="4">
        <v>639</v>
      </c>
      <c r="N7" s="4">
        <v>458</v>
      </c>
      <c r="O7" s="4">
        <v>948</v>
      </c>
      <c r="P7" s="4">
        <v>7029</v>
      </c>
      <c r="Q7" s="4">
        <v>169670</v>
      </c>
      <c r="R7" s="4">
        <f t="shared" ref="R7:R13" si="0">T7+Q7</f>
        <v>577493</v>
      </c>
      <c r="S7" s="4">
        <f t="shared" ref="S7:S13" si="1">SUM(B7:N7)</f>
        <v>399846</v>
      </c>
      <c r="T7" s="4">
        <f t="shared" ref="T7:T13" si="2">S7+O7+P7</f>
        <v>407823</v>
      </c>
      <c r="U7" s="6">
        <f t="shared" ref="U7:U14" si="3">(O7+P7)/T7</f>
        <v>1.955995615745066E-2</v>
      </c>
      <c r="V7" s="6">
        <f t="shared" ref="V7:V14" si="4">Q7/R7</f>
        <v>0.29380442706664844</v>
      </c>
    </row>
    <row r="8" spans="1:22" ht="21" customHeight="1">
      <c r="A8" s="2" t="s">
        <v>12</v>
      </c>
      <c r="B8" s="4">
        <v>89965</v>
      </c>
      <c r="C8" s="4">
        <v>71981</v>
      </c>
      <c r="D8" s="4">
        <v>37969</v>
      </c>
      <c r="E8" s="4">
        <v>29391</v>
      </c>
      <c r="F8" s="4">
        <v>16357</v>
      </c>
      <c r="G8" s="4">
        <v>5492</v>
      </c>
      <c r="H8" s="4">
        <v>2286</v>
      </c>
      <c r="I8" s="4">
        <v>867</v>
      </c>
      <c r="J8" s="4">
        <v>1595</v>
      </c>
      <c r="K8" s="4">
        <v>893</v>
      </c>
      <c r="L8" s="4">
        <v>743</v>
      </c>
      <c r="M8" s="4">
        <v>514</v>
      </c>
      <c r="N8" s="4">
        <v>440</v>
      </c>
      <c r="O8" s="4">
        <v>762</v>
      </c>
      <c r="P8" s="4">
        <v>5277</v>
      </c>
      <c r="Q8" s="4">
        <v>95453</v>
      </c>
      <c r="R8" s="4">
        <f t="shared" si="0"/>
        <v>359985</v>
      </c>
      <c r="S8" s="4">
        <f t="shared" si="1"/>
        <v>258493</v>
      </c>
      <c r="T8" s="4">
        <f t="shared" si="2"/>
        <v>264532</v>
      </c>
      <c r="U8" s="6">
        <f t="shared" si="3"/>
        <v>2.2828996113891702E-2</v>
      </c>
      <c r="V8" s="6">
        <f t="shared" si="4"/>
        <v>0.26515827048349239</v>
      </c>
    </row>
    <row r="9" spans="1:22" ht="21" customHeight="1">
      <c r="A9" s="2" t="s">
        <v>13</v>
      </c>
      <c r="B9" s="4">
        <v>20277</v>
      </c>
      <c r="C9" s="4">
        <v>55598</v>
      </c>
      <c r="D9" s="4">
        <v>26099</v>
      </c>
      <c r="E9" s="4">
        <v>17413</v>
      </c>
      <c r="F9" s="4">
        <v>10690</v>
      </c>
      <c r="G9" s="4">
        <v>1212</v>
      </c>
      <c r="H9" s="4">
        <v>1732</v>
      </c>
      <c r="I9" s="4">
        <v>1854</v>
      </c>
      <c r="J9" s="4">
        <v>495</v>
      </c>
      <c r="K9" s="4">
        <v>247</v>
      </c>
      <c r="L9" s="4">
        <v>284</v>
      </c>
      <c r="M9" s="4">
        <v>271</v>
      </c>
      <c r="N9" s="4">
        <v>153</v>
      </c>
      <c r="O9" s="4">
        <v>639</v>
      </c>
      <c r="P9" s="4">
        <v>3174</v>
      </c>
      <c r="Q9" s="4">
        <v>81550</v>
      </c>
      <c r="R9" s="4">
        <f t="shared" si="0"/>
        <v>221688</v>
      </c>
      <c r="S9" s="4">
        <f t="shared" si="1"/>
        <v>136325</v>
      </c>
      <c r="T9" s="4">
        <f t="shared" si="2"/>
        <v>140138</v>
      </c>
      <c r="U9" s="6">
        <f t="shared" si="3"/>
        <v>2.7208894090111176E-2</v>
      </c>
      <c r="V9" s="6">
        <f t="shared" si="4"/>
        <v>0.36785933383854785</v>
      </c>
    </row>
    <row r="10" spans="1:22" ht="21" customHeight="1">
      <c r="A10" s="2" t="s">
        <v>14</v>
      </c>
      <c r="B10" s="4">
        <v>85093</v>
      </c>
      <c r="C10" s="4">
        <v>56900</v>
      </c>
      <c r="D10" s="4">
        <v>36437</v>
      </c>
      <c r="E10" s="4">
        <v>21699</v>
      </c>
      <c r="F10" s="4">
        <v>11538</v>
      </c>
      <c r="G10" s="4">
        <v>2668</v>
      </c>
      <c r="H10" s="4">
        <v>2738</v>
      </c>
      <c r="I10" s="4">
        <v>847</v>
      </c>
      <c r="J10" s="4">
        <v>926</v>
      </c>
      <c r="K10" s="4">
        <v>701</v>
      </c>
      <c r="L10" s="4">
        <v>477</v>
      </c>
      <c r="M10" s="4">
        <v>341</v>
      </c>
      <c r="N10" s="4">
        <v>210</v>
      </c>
      <c r="O10" s="4">
        <v>395</v>
      </c>
      <c r="P10" s="4">
        <v>2982</v>
      </c>
      <c r="Q10" s="4">
        <v>82949</v>
      </c>
      <c r="R10" s="4">
        <f t="shared" si="0"/>
        <v>306901</v>
      </c>
      <c r="S10" s="4">
        <f t="shared" si="1"/>
        <v>220575</v>
      </c>
      <c r="T10" s="4">
        <f t="shared" si="2"/>
        <v>223952</v>
      </c>
      <c r="U10" s="6">
        <f t="shared" si="3"/>
        <v>1.5079124098021004E-2</v>
      </c>
      <c r="V10" s="6">
        <f t="shared" si="4"/>
        <v>0.2702793408949466</v>
      </c>
    </row>
    <row r="11" spans="1:22" ht="21" customHeight="1">
      <c r="A11" s="2" t="s">
        <v>15</v>
      </c>
      <c r="B11" s="4">
        <v>20619</v>
      </c>
      <c r="C11" s="4">
        <v>41368</v>
      </c>
      <c r="D11" s="4">
        <v>31367</v>
      </c>
      <c r="E11" s="4">
        <v>25640</v>
      </c>
      <c r="F11" s="4">
        <v>10929</v>
      </c>
      <c r="G11" s="4">
        <v>1112</v>
      </c>
      <c r="H11" s="4">
        <v>2666</v>
      </c>
      <c r="I11" s="4">
        <v>4902</v>
      </c>
      <c r="J11" s="4">
        <v>1157</v>
      </c>
      <c r="K11" s="4">
        <v>504</v>
      </c>
      <c r="L11" s="4">
        <v>519</v>
      </c>
      <c r="M11" s="4">
        <v>506</v>
      </c>
      <c r="N11" s="4">
        <v>200</v>
      </c>
      <c r="O11" s="4">
        <v>826</v>
      </c>
      <c r="P11" s="4">
        <v>4402</v>
      </c>
      <c r="Q11" s="4">
        <v>102568</v>
      </c>
      <c r="R11" s="4">
        <f t="shared" si="0"/>
        <v>249285</v>
      </c>
      <c r="S11" s="4">
        <f t="shared" si="1"/>
        <v>141489</v>
      </c>
      <c r="T11" s="4">
        <f t="shared" si="2"/>
        <v>146717</v>
      </c>
      <c r="U11" s="6">
        <f t="shared" si="3"/>
        <v>3.5633225870212726E-2</v>
      </c>
      <c r="V11" s="6">
        <f t="shared" si="4"/>
        <v>0.41144874340614157</v>
      </c>
    </row>
    <row r="12" spans="1:22" ht="21" customHeight="1">
      <c r="A12" s="2" t="s">
        <v>16</v>
      </c>
      <c r="B12" s="4">
        <v>22956</v>
      </c>
      <c r="C12" s="4">
        <v>55963</v>
      </c>
      <c r="D12" s="4">
        <v>37762</v>
      </c>
      <c r="E12" s="4">
        <v>23735</v>
      </c>
      <c r="F12" s="4">
        <v>13769</v>
      </c>
      <c r="G12" s="4">
        <v>1169</v>
      </c>
      <c r="H12" s="4">
        <v>3260</v>
      </c>
      <c r="I12" s="4">
        <v>1797</v>
      </c>
      <c r="J12" s="4">
        <v>963</v>
      </c>
      <c r="K12" s="4">
        <v>449</v>
      </c>
      <c r="L12" s="4">
        <v>357</v>
      </c>
      <c r="M12" s="4">
        <v>345</v>
      </c>
      <c r="N12" s="4">
        <v>246</v>
      </c>
      <c r="O12" s="4">
        <v>736</v>
      </c>
      <c r="P12" s="4">
        <v>4008</v>
      </c>
      <c r="Q12" s="4">
        <v>119739</v>
      </c>
      <c r="R12" s="4">
        <f t="shared" si="0"/>
        <v>287254</v>
      </c>
      <c r="S12" s="4">
        <f t="shared" si="1"/>
        <v>162771</v>
      </c>
      <c r="T12" s="4">
        <f t="shared" si="2"/>
        <v>167515</v>
      </c>
      <c r="U12" s="6">
        <f t="shared" si="3"/>
        <v>2.8319851953556397E-2</v>
      </c>
      <c r="V12" s="6">
        <f t="shared" si="4"/>
        <v>0.41684014844005651</v>
      </c>
    </row>
    <row r="13" spans="1:22" ht="21" customHeight="1">
      <c r="A13" s="2" t="s">
        <v>17</v>
      </c>
      <c r="B13" s="4">
        <v>265637</v>
      </c>
      <c r="C13" s="4">
        <v>209006</v>
      </c>
      <c r="D13" s="4">
        <v>111109</v>
      </c>
      <c r="E13" s="4">
        <v>73552</v>
      </c>
      <c r="F13" s="4">
        <v>38814</v>
      </c>
      <c r="G13" s="4">
        <v>10621</v>
      </c>
      <c r="H13" s="4">
        <v>10416</v>
      </c>
      <c r="I13" s="4">
        <v>3857</v>
      </c>
      <c r="J13" s="4">
        <v>3471</v>
      </c>
      <c r="K13" s="4">
        <v>2221</v>
      </c>
      <c r="L13" s="4">
        <v>1452</v>
      </c>
      <c r="M13" s="4">
        <v>1767</v>
      </c>
      <c r="N13" s="4">
        <v>1333</v>
      </c>
      <c r="O13" s="4">
        <v>1418</v>
      </c>
      <c r="P13" s="4">
        <v>11097</v>
      </c>
      <c r="Q13" s="4">
        <v>317290</v>
      </c>
      <c r="R13" s="4">
        <f t="shared" si="0"/>
        <v>1063061</v>
      </c>
      <c r="S13" s="4">
        <f t="shared" si="1"/>
        <v>733256</v>
      </c>
      <c r="T13" s="4">
        <f t="shared" si="2"/>
        <v>745771</v>
      </c>
      <c r="U13" s="6">
        <f t="shared" si="3"/>
        <v>1.6781290771563925E-2</v>
      </c>
      <c r="V13" s="6">
        <f t="shared" si="4"/>
        <v>0.29846829109524287</v>
      </c>
    </row>
    <row r="14" spans="1:22" ht="21" customHeight="1">
      <c r="A14" s="2" t="s">
        <v>18</v>
      </c>
      <c r="B14" s="5">
        <f t="shared" ref="B14:T14" si="5">SUM(B7:B13)</f>
        <v>628719</v>
      </c>
      <c r="C14" s="5">
        <f t="shared" si="5"/>
        <v>609897</v>
      </c>
      <c r="D14" s="5">
        <f t="shared" si="5"/>
        <v>354076</v>
      </c>
      <c r="E14" s="5">
        <f t="shared" si="5"/>
        <v>232819</v>
      </c>
      <c r="F14" s="5">
        <f t="shared" si="5"/>
        <v>123540</v>
      </c>
      <c r="G14" s="5">
        <f t="shared" si="5"/>
        <v>30785</v>
      </c>
      <c r="H14" s="5">
        <f t="shared" si="5"/>
        <v>27675</v>
      </c>
      <c r="I14" s="5">
        <f t="shared" si="5"/>
        <v>16716</v>
      </c>
      <c r="J14" s="5">
        <f t="shared" si="5"/>
        <v>10336</v>
      </c>
      <c r="K14" s="5">
        <f t="shared" si="5"/>
        <v>5878</v>
      </c>
      <c r="L14" s="5">
        <f t="shared" si="5"/>
        <v>4891</v>
      </c>
      <c r="M14" s="5">
        <f t="shared" si="5"/>
        <v>4383</v>
      </c>
      <c r="N14" s="5">
        <f t="shared" si="5"/>
        <v>3040</v>
      </c>
      <c r="O14" s="5">
        <f t="shared" si="5"/>
        <v>5724</v>
      </c>
      <c r="P14" s="5">
        <f t="shared" si="5"/>
        <v>37969</v>
      </c>
      <c r="Q14" s="5">
        <f t="shared" si="5"/>
        <v>969219</v>
      </c>
      <c r="R14" s="5">
        <f t="shared" si="5"/>
        <v>3065667</v>
      </c>
      <c r="S14" s="5">
        <f t="shared" si="5"/>
        <v>2052755</v>
      </c>
      <c r="T14" s="5">
        <f t="shared" si="5"/>
        <v>2096448</v>
      </c>
      <c r="U14" s="7">
        <f t="shared" si="3"/>
        <v>2.0841442287144733E-2</v>
      </c>
      <c r="V14" s="7">
        <f t="shared" si="4"/>
        <v>0.31615273283106093</v>
      </c>
    </row>
    <row r="15" spans="1:22" ht="21" customHeight="1">
      <c r="A15" s="2" t="s">
        <v>19</v>
      </c>
      <c r="B15" s="7">
        <f t="shared" ref="B15:N15" si="6">B14/$S$14</f>
        <v>0.3062805838982246</v>
      </c>
      <c r="C15" s="7">
        <f t="shared" si="6"/>
        <v>0.29711144291452218</v>
      </c>
      <c r="D15" s="7">
        <f t="shared" si="6"/>
        <v>0.17248819269713142</v>
      </c>
      <c r="E15" s="7">
        <f t="shared" si="6"/>
        <v>0.11341782141560976</v>
      </c>
      <c r="F15" s="7">
        <f t="shared" si="6"/>
        <v>6.018253517833351E-2</v>
      </c>
      <c r="G15" s="7">
        <f t="shared" si="6"/>
        <v>1.4996918775012118E-2</v>
      </c>
      <c r="H15" s="7">
        <f t="shared" si="6"/>
        <v>1.3481881666345959E-2</v>
      </c>
      <c r="I15" s="7">
        <f t="shared" si="6"/>
        <v>8.1432026715316727E-3</v>
      </c>
      <c r="J15" s="7">
        <f t="shared" si="6"/>
        <v>5.035184422885342E-3</v>
      </c>
      <c r="K15" s="7">
        <f t="shared" si="6"/>
        <v>2.8634688503986106E-3</v>
      </c>
      <c r="L15" s="7">
        <f t="shared" si="6"/>
        <v>2.3826516072302834E-3</v>
      </c>
      <c r="M15" s="7">
        <f t="shared" si="6"/>
        <v>2.1351793078082867E-3</v>
      </c>
      <c r="N15" s="7">
        <f t="shared" si="6"/>
        <v>1.480936594966277E-3</v>
      </c>
      <c r="O15" s="1"/>
      <c r="P15" s="1"/>
      <c r="Q15" s="1"/>
      <c r="R15" s="1"/>
      <c r="S15" s="1"/>
      <c r="T15" s="1"/>
      <c r="U15" s="1"/>
      <c r="V15" s="1"/>
    </row>
    <row r="17" spans="1:22" ht="28" customHeight="1">
      <c r="A17" s="2" t="s">
        <v>65</v>
      </c>
      <c r="B17" s="3" t="s">
        <v>60</v>
      </c>
      <c r="C17" s="3" t="s">
        <v>1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7</v>
      </c>
      <c r="I17" s="3" t="s">
        <v>8</v>
      </c>
      <c r="J17" s="3" t="s">
        <v>9</v>
      </c>
      <c r="K17" s="3" t="s">
        <v>10</v>
      </c>
    </row>
    <row r="18" spans="1:22" ht="21" customHeight="1">
      <c r="A18" s="2" t="s">
        <v>11</v>
      </c>
      <c r="B18" s="4">
        <v>266437</v>
      </c>
      <c r="C18" s="4">
        <v>71125</v>
      </c>
      <c r="D18" s="4">
        <v>457</v>
      </c>
      <c r="E18" s="4">
        <v>2402</v>
      </c>
      <c r="F18" s="4">
        <v>237072</v>
      </c>
      <c r="G18" s="4">
        <f t="shared" ref="G18:G24" si="7">I18+F18</f>
        <v>577493</v>
      </c>
      <c r="H18" s="4">
        <f t="shared" ref="H18:H24" si="8">SUM(B18:C18)</f>
        <v>337562</v>
      </c>
      <c r="I18" s="4">
        <f t="shared" ref="I18:I24" si="9">H18+D18+E18</f>
        <v>340421</v>
      </c>
      <c r="J18" s="6">
        <f t="shared" ref="J18:J25" si="10">(D18+E18)/I18</f>
        <v>8.3984243040235475E-3</v>
      </c>
      <c r="K18" s="6">
        <f t="shared" ref="K18:K25" si="11">F18/G18</f>
        <v>0.4105192617053367</v>
      </c>
    </row>
    <row r="19" spans="1:22" ht="21" customHeight="1">
      <c r="A19" s="2" t="s">
        <v>12</v>
      </c>
      <c r="B19" s="4">
        <v>180650</v>
      </c>
      <c r="C19" s="4">
        <v>44232</v>
      </c>
      <c r="D19" s="4">
        <v>374</v>
      </c>
      <c r="E19" s="4">
        <v>2029</v>
      </c>
      <c r="F19" s="4">
        <v>132700</v>
      </c>
      <c r="G19" s="4">
        <f t="shared" si="7"/>
        <v>359985</v>
      </c>
      <c r="H19" s="4">
        <f t="shared" si="8"/>
        <v>224882</v>
      </c>
      <c r="I19" s="4">
        <f t="shared" si="9"/>
        <v>227285</v>
      </c>
      <c r="J19" s="6">
        <f t="shared" si="10"/>
        <v>1.0572629078029786E-2</v>
      </c>
      <c r="K19" s="6">
        <f t="shared" si="11"/>
        <v>0.3686264705473839</v>
      </c>
    </row>
    <row r="20" spans="1:22" ht="21" customHeight="1">
      <c r="A20" s="2" t="s">
        <v>13</v>
      </c>
      <c r="B20" s="4">
        <v>75196</v>
      </c>
      <c r="C20" s="4">
        <v>32615</v>
      </c>
      <c r="D20" s="4">
        <v>174</v>
      </c>
      <c r="E20" s="4">
        <v>864</v>
      </c>
      <c r="F20" s="4">
        <v>112839</v>
      </c>
      <c r="G20" s="4">
        <f t="shared" si="7"/>
        <v>221688</v>
      </c>
      <c r="H20" s="4">
        <f t="shared" si="8"/>
        <v>107811</v>
      </c>
      <c r="I20" s="4">
        <f t="shared" si="9"/>
        <v>108849</v>
      </c>
      <c r="J20" s="6">
        <f t="shared" si="10"/>
        <v>9.5361464046523157E-3</v>
      </c>
      <c r="K20" s="6">
        <f t="shared" si="11"/>
        <v>0.50899913391793872</v>
      </c>
    </row>
    <row r="21" spans="1:22" ht="21" customHeight="1">
      <c r="A21" s="2" t="s">
        <v>14</v>
      </c>
      <c r="B21" s="4">
        <v>152336</v>
      </c>
      <c r="C21" s="4">
        <v>36173</v>
      </c>
      <c r="D21" s="4">
        <v>304</v>
      </c>
      <c r="E21" s="4">
        <v>1796</v>
      </c>
      <c r="F21" s="4">
        <v>116292</v>
      </c>
      <c r="G21" s="4">
        <f t="shared" si="7"/>
        <v>306901</v>
      </c>
      <c r="H21" s="4">
        <f t="shared" si="8"/>
        <v>188509</v>
      </c>
      <c r="I21" s="4">
        <f t="shared" si="9"/>
        <v>190609</v>
      </c>
      <c r="J21" s="6">
        <f t="shared" si="10"/>
        <v>1.1017318174902549E-2</v>
      </c>
      <c r="K21" s="6">
        <f t="shared" si="11"/>
        <v>0.37892349650212936</v>
      </c>
    </row>
    <row r="22" spans="1:22" ht="21" customHeight="1">
      <c r="A22" s="2" t="s">
        <v>15</v>
      </c>
      <c r="B22" s="4">
        <v>87852</v>
      </c>
      <c r="C22" s="4">
        <v>25422</v>
      </c>
      <c r="D22" s="4">
        <v>244</v>
      </c>
      <c r="E22" s="4">
        <v>1170</v>
      </c>
      <c r="F22" s="4">
        <v>134597</v>
      </c>
      <c r="G22" s="4">
        <f t="shared" si="7"/>
        <v>249285</v>
      </c>
      <c r="H22" s="4">
        <f t="shared" si="8"/>
        <v>113274</v>
      </c>
      <c r="I22" s="4">
        <f t="shared" si="9"/>
        <v>114688</v>
      </c>
      <c r="J22" s="6">
        <f t="shared" si="10"/>
        <v>1.23291015625E-2</v>
      </c>
      <c r="K22" s="6">
        <f t="shared" si="11"/>
        <v>0.53993220610947312</v>
      </c>
    </row>
    <row r="23" spans="1:22" ht="21" customHeight="1">
      <c r="A23" s="2" t="s">
        <v>16</v>
      </c>
      <c r="B23" s="4">
        <v>95640</v>
      </c>
      <c r="C23" s="4">
        <v>35179</v>
      </c>
      <c r="D23" s="4">
        <v>198</v>
      </c>
      <c r="E23" s="4">
        <v>991</v>
      </c>
      <c r="F23" s="4">
        <v>155246</v>
      </c>
      <c r="G23" s="4">
        <f t="shared" si="7"/>
        <v>287254</v>
      </c>
      <c r="H23" s="4">
        <f t="shared" si="8"/>
        <v>130819</v>
      </c>
      <c r="I23" s="4">
        <f t="shared" si="9"/>
        <v>132008</v>
      </c>
      <c r="J23" s="6">
        <f t="shared" si="10"/>
        <v>9.0070298769771521E-3</v>
      </c>
      <c r="K23" s="6">
        <f t="shared" si="11"/>
        <v>0.54044852291003775</v>
      </c>
    </row>
    <row r="24" spans="1:22" ht="21" customHeight="1">
      <c r="A24" s="2" t="s">
        <v>17</v>
      </c>
      <c r="B24" s="4">
        <v>478669</v>
      </c>
      <c r="C24" s="4">
        <v>137480</v>
      </c>
      <c r="D24" s="4">
        <v>1084</v>
      </c>
      <c r="E24" s="4">
        <v>6195</v>
      </c>
      <c r="F24" s="4">
        <v>439633</v>
      </c>
      <c r="G24" s="4">
        <f t="shared" si="7"/>
        <v>1063061</v>
      </c>
      <c r="H24" s="4">
        <f t="shared" si="8"/>
        <v>616149</v>
      </c>
      <c r="I24" s="4">
        <f t="shared" si="9"/>
        <v>623428</v>
      </c>
      <c r="J24" s="6">
        <f t="shared" si="10"/>
        <v>1.1675766888878909E-2</v>
      </c>
      <c r="K24" s="6">
        <f t="shared" si="11"/>
        <v>0.41355387884608691</v>
      </c>
    </row>
    <row r="25" spans="1:22" ht="21" customHeight="1">
      <c r="A25" s="2" t="s">
        <v>18</v>
      </c>
      <c r="B25" s="5">
        <f t="shared" ref="B25:I25" si="12">SUM(B18:B24)</f>
        <v>1336780</v>
      </c>
      <c r="C25" s="5">
        <f t="shared" si="12"/>
        <v>382226</v>
      </c>
      <c r="D25" s="5">
        <f t="shared" si="12"/>
        <v>2835</v>
      </c>
      <c r="E25" s="5">
        <f t="shared" si="12"/>
        <v>15447</v>
      </c>
      <c r="F25" s="5">
        <f t="shared" si="12"/>
        <v>1328379</v>
      </c>
      <c r="G25" s="5">
        <f t="shared" si="12"/>
        <v>3065667</v>
      </c>
      <c r="H25" s="5">
        <f t="shared" si="12"/>
        <v>1719006</v>
      </c>
      <c r="I25" s="5">
        <f t="shared" si="12"/>
        <v>1737288</v>
      </c>
      <c r="J25" s="7">
        <f t="shared" si="10"/>
        <v>1.0523298382306215E-2</v>
      </c>
      <c r="K25" s="7">
        <f t="shared" si="11"/>
        <v>0.43330831430810979</v>
      </c>
    </row>
    <row r="26" spans="1:22" ht="21" customHeight="1">
      <c r="A26" s="2" t="s">
        <v>19</v>
      </c>
      <c r="B26" s="7">
        <f>B25/$H$25</f>
        <v>0.77764708209279088</v>
      </c>
      <c r="C26" s="7">
        <f>C25/$H$25</f>
        <v>0.22235291790720918</v>
      </c>
      <c r="D26" s="1"/>
      <c r="E26" s="1"/>
      <c r="F26" s="1"/>
      <c r="G26" s="1"/>
      <c r="H26" s="1"/>
      <c r="I26" s="1"/>
      <c r="J26" s="1"/>
      <c r="K26" s="1"/>
    </row>
    <row r="28" spans="1:22" ht="18" customHeight="1">
      <c r="A28" s="9" t="s">
        <v>82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 ht="18" customHeight="1">
      <c r="A29" s="9" t="s">
        <v>83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</sheetData>
  <mergeCells count="3">
    <mergeCell ref="A5:V5"/>
    <mergeCell ref="A28:V28"/>
    <mergeCell ref="A29:V2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5:V29"/>
  <sheetViews>
    <sheetView workbookViewId="0"/>
  </sheetViews>
  <sheetFormatPr baseColWidth="10" defaultColWidth="8.83203125" defaultRowHeight="14"/>
  <cols>
    <col min="1" max="1" width="27" customWidth="1"/>
    <col min="2" max="3" width="94" customWidth="1"/>
    <col min="4" max="4" width="86" customWidth="1"/>
    <col min="5" max="5" width="102" customWidth="1"/>
    <col min="6" max="6" width="90" customWidth="1"/>
    <col min="7" max="7" width="122" customWidth="1"/>
    <col min="8" max="8" width="94" customWidth="1"/>
    <col min="9" max="9" width="62" customWidth="1"/>
    <col min="10" max="10" width="74" customWidth="1"/>
    <col min="11" max="11" width="118" customWidth="1"/>
    <col min="12" max="12" width="106" customWidth="1"/>
    <col min="13" max="13" width="118" customWidth="1"/>
    <col min="14" max="14" width="86" customWidth="1"/>
    <col min="15" max="20" width="20" customWidth="1"/>
    <col min="21" max="22" width="22" customWidth="1"/>
  </cols>
  <sheetData>
    <row r="5" spans="1:22" ht="28" customHeight="1">
      <c r="A5" s="8">
        <v>2018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ht="28" customHeight="1">
      <c r="A6" s="2" t="s">
        <v>0</v>
      </c>
      <c r="B6" s="3" t="s">
        <v>78</v>
      </c>
      <c r="C6" s="3" t="s">
        <v>60</v>
      </c>
      <c r="D6" s="3" t="s">
        <v>1</v>
      </c>
      <c r="E6" s="3" t="s">
        <v>43</v>
      </c>
      <c r="F6" s="3" t="s">
        <v>53</v>
      </c>
      <c r="G6" s="3" t="s">
        <v>84</v>
      </c>
      <c r="H6" s="3" t="s">
        <v>55</v>
      </c>
      <c r="I6" s="3" t="s">
        <v>74</v>
      </c>
      <c r="J6" s="3" t="s">
        <v>79</v>
      </c>
      <c r="K6" s="3" t="s">
        <v>85</v>
      </c>
      <c r="L6" s="3" t="s">
        <v>54</v>
      </c>
      <c r="M6" s="3" t="s">
        <v>73</v>
      </c>
      <c r="N6" s="3" t="s">
        <v>80</v>
      </c>
      <c r="O6" s="3" t="s">
        <v>3</v>
      </c>
      <c r="P6" s="3" t="s">
        <v>4</v>
      </c>
      <c r="Q6" s="3" t="s">
        <v>5</v>
      </c>
      <c r="R6" s="3" t="s">
        <v>6</v>
      </c>
      <c r="S6" s="3" t="s">
        <v>7</v>
      </c>
      <c r="T6" s="3" t="s">
        <v>8</v>
      </c>
      <c r="U6" s="3" t="s">
        <v>9</v>
      </c>
      <c r="V6" s="3" t="s">
        <v>10</v>
      </c>
    </row>
    <row r="7" spans="1:22" ht="21" customHeight="1">
      <c r="A7" s="2" t="s">
        <v>11</v>
      </c>
      <c r="B7" s="4">
        <v>113234</v>
      </c>
      <c r="C7" s="4">
        <v>92385</v>
      </c>
      <c r="D7" s="4">
        <v>76848</v>
      </c>
      <c r="E7" s="4">
        <v>64459</v>
      </c>
      <c r="F7" s="4">
        <v>37462</v>
      </c>
      <c r="G7" s="4">
        <v>23023</v>
      </c>
      <c r="H7" s="4">
        <v>3847</v>
      </c>
      <c r="I7" s="4">
        <v>3177</v>
      </c>
      <c r="J7" s="4">
        <v>3039</v>
      </c>
      <c r="K7" s="4">
        <v>1313</v>
      </c>
      <c r="L7" s="4">
        <v>2058</v>
      </c>
      <c r="M7" s="4">
        <v>1381</v>
      </c>
      <c r="N7" s="4">
        <v>888</v>
      </c>
      <c r="O7" s="4">
        <v>889</v>
      </c>
      <c r="P7" s="4">
        <v>4244</v>
      </c>
      <c r="Q7" s="4">
        <v>203003</v>
      </c>
      <c r="R7" s="4">
        <f t="shared" ref="R7:R13" si="0">T7+Q7</f>
        <v>631250</v>
      </c>
      <c r="S7" s="4">
        <f t="shared" ref="S7:S13" si="1">SUM(B7:N7)</f>
        <v>423114</v>
      </c>
      <c r="T7" s="4">
        <f t="shared" ref="T7:T13" si="2">S7+O7+P7</f>
        <v>428247</v>
      </c>
      <c r="U7" s="6">
        <f t="shared" ref="U7:U14" si="3">(O7+P7)/T7</f>
        <v>1.1986073457607408E-2</v>
      </c>
      <c r="V7" s="6">
        <f t="shared" ref="V7:V14" si="4">Q7/R7</f>
        <v>0.3215889108910891</v>
      </c>
    </row>
    <row r="8" spans="1:22" ht="21" customHeight="1">
      <c r="A8" s="2" t="s">
        <v>12</v>
      </c>
      <c r="B8" s="4">
        <v>41211</v>
      </c>
      <c r="C8" s="4">
        <v>72528</v>
      </c>
      <c r="D8" s="4">
        <v>55345</v>
      </c>
      <c r="E8" s="4">
        <v>41337</v>
      </c>
      <c r="F8" s="4">
        <v>29839</v>
      </c>
      <c r="G8" s="4">
        <v>17464</v>
      </c>
      <c r="H8" s="4">
        <v>2814</v>
      </c>
      <c r="I8" s="4">
        <v>2097</v>
      </c>
      <c r="J8" s="4">
        <v>2361</v>
      </c>
      <c r="K8" s="4">
        <v>5920</v>
      </c>
      <c r="L8" s="4">
        <v>1955</v>
      </c>
      <c r="M8" s="4">
        <v>1061</v>
      </c>
      <c r="N8" s="4">
        <v>527</v>
      </c>
      <c r="O8" s="4">
        <v>685</v>
      </c>
      <c r="P8" s="4">
        <v>3401</v>
      </c>
      <c r="Q8" s="4">
        <v>109397</v>
      </c>
      <c r="R8" s="4">
        <f t="shared" si="0"/>
        <v>387942</v>
      </c>
      <c r="S8" s="4">
        <f t="shared" si="1"/>
        <v>274459</v>
      </c>
      <c r="T8" s="4">
        <f t="shared" si="2"/>
        <v>278545</v>
      </c>
      <c r="U8" s="6">
        <f t="shared" si="3"/>
        <v>1.4669083990019566E-2</v>
      </c>
      <c r="V8" s="6">
        <f t="shared" si="4"/>
        <v>0.28199318454820566</v>
      </c>
    </row>
    <row r="9" spans="1:22" ht="21" customHeight="1">
      <c r="A9" s="2" t="s">
        <v>13</v>
      </c>
      <c r="B9" s="4">
        <v>35733</v>
      </c>
      <c r="C9" s="4">
        <v>21089</v>
      </c>
      <c r="D9" s="4">
        <v>32937</v>
      </c>
      <c r="E9" s="4">
        <v>22108</v>
      </c>
      <c r="F9" s="4">
        <v>15653</v>
      </c>
      <c r="G9" s="4">
        <v>7266</v>
      </c>
      <c r="H9" s="4">
        <v>1346</v>
      </c>
      <c r="I9" s="4">
        <v>942</v>
      </c>
      <c r="J9" s="4">
        <v>691</v>
      </c>
      <c r="K9" s="4">
        <v>438</v>
      </c>
      <c r="L9" s="4">
        <v>822</v>
      </c>
      <c r="M9" s="4">
        <v>528</v>
      </c>
      <c r="N9" s="4">
        <v>255</v>
      </c>
      <c r="O9" s="4">
        <v>630</v>
      </c>
      <c r="P9" s="4">
        <v>2392</v>
      </c>
      <c r="Q9" s="4">
        <v>97794</v>
      </c>
      <c r="R9" s="4">
        <f t="shared" si="0"/>
        <v>240624</v>
      </c>
      <c r="S9" s="4">
        <f t="shared" si="1"/>
        <v>139808</v>
      </c>
      <c r="T9" s="4">
        <f t="shared" si="2"/>
        <v>142830</v>
      </c>
      <c r="U9" s="6">
        <f t="shared" si="3"/>
        <v>2.1158020023804524E-2</v>
      </c>
      <c r="V9" s="6">
        <f t="shared" si="4"/>
        <v>0.40641831238779175</v>
      </c>
    </row>
    <row r="10" spans="1:22" ht="21" customHeight="1">
      <c r="A10" s="2" t="s">
        <v>14</v>
      </c>
      <c r="B10" s="4">
        <v>50033</v>
      </c>
      <c r="C10" s="4">
        <v>64449</v>
      </c>
      <c r="D10" s="4">
        <v>41780</v>
      </c>
      <c r="E10" s="4">
        <v>42705</v>
      </c>
      <c r="F10" s="4">
        <v>19075</v>
      </c>
      <c r="G10" s="4">
        <v>8792</v>
      </c>
      <c r="H10" s="4">
        <v>2410</v>
      </c>
      <c r="I10" s="4">
        <v>1896</v>
      </c>
      <c r="J10" s="4">
        <v>2207</v>
      </c>
      <c r="K10" s="4">
        <v>682</v>
      </c>
      <c r="L10" s="4">
        <v>1236</v>
      </c>
      <c r="M10" s="4">
        <v>580</v>
      </c>
      <c r="N10" s="4">
        <v>401</v>
      </c>
      <c r="O10" s="4">
        <v>351</v>
      </c>
      <c r="P10" s="4">
        <v>1780</v>
      </c>
      <c r="Q10" s="4">
        <v>94471</v>
      </c>
      <c r="R10" s="4">
        <f t="shared" si="0"/>
        <v>332848</v>
      </c>
      <c r="S10" s="4">
        <f t="shared" si="1"/>
        <v>236246</v>
      </c>
      <c r="T10" s="4">
        <f t="shared" si="2"/>
        <v>238377</v>
      </c>
      <c r="U10" s="6">
        <f t="shared" si="3"/>
        <v>8.9396208526829352E-3</v>
      </c>
      <c r="V10" s="6">
        <f t="shared" si="4"/>
        <v>0.28382625102148729</v>
      </c>
    </row>
    <row r="11" spans="1:22" ht="21" customHeight="1">
      <c r="A11" s="2" t="s">
        <v>15</v>
      </c>
      <c r="B11" s="4">
        <v>64710</v>
      </c>
      <c r="C11" s="4">
        <v>16050</v>
      </c>
      <c r="D11" s="4">
        <v>26684</v>
      </c>
      <c r="E11" s="4">
        <v>14041</v>
      </c>
      <c r="F11" s="4">
        <v>15810</v>
      </c>
      <c r="G11" s="4">
        <v>6978</v>
      </c>
      <c r="H11" s="4">
        <v>1963</v>
      </c>
      <c r="I11" s="4">
        <v>1434</v>
      </c>
      <c r="J11" s="4">
        <v>657</v>
      </c>
      <c r="K11" s="4">
        <v>1003</v>
      </c>
      <c r="L11" s="4">
        <v>1215</v>
      </c>
      <c r="M11" s="4">
        <v>989</v>
      </c>
      <c r="N11" s="4">
        <v>453</v>
      </c>
      <c r="O11" s="4">
        <v>769</v>
      </c>
      <c r="P11" s="4">
        <v>2818</v>
      </c>
      <c r="Q11" s="4">
        <v>116997</v>
      </c>
      <c r="R11" s="4">
        <f t="shared" si="0"/>
        <v>272571</v>
      </c>
      <c r="S11" s="4">
        <f t="shared" si="1"/>
        <v>151987</v>
      </c>
      <c r="T11" s="4">
        <f t="shared" si="2"/>
        <v>155574</v>
      </c>
      <c r="U11" s="6">
        <f t="shared" si="3"/>
        <v>2.3056551865993032E-2</v>
      </c>
      <c r="V11" s="6">
        <f t="shared" si="4"/>
        <v>0.42923495162728242</v>
      </c>
    </row>
    <row r="12" spans="1:22" ht="21" customHeight="1">
      <c r="A12" s="2" t="s">
        <v>16</v>
      </c>
      <c r="B12" s="4">
        <v>60096</v>
      </c>
      <c r="C12" s="4">
        <v>20330</v>
      </c>
      <c r="D12" s="4">
        <v>31280</v>
      </c>
      <c r="E12" s="4">
        <v>23067</v>
      </c>
      <c r="F12" s="4">
        <v>19462</v>
      </c>
      <c r="G12" s="4">
        <v>8202</v>
      </c>
      <c r="H12" s="4">
        <v>1805</v>
      </c>
      <c r="I12" s="4">
        <v>1347</v>
      </c>
      <c r="J12" s="4">
        <v>947</v>
      </c>
      <c r="K12" s="4">
        <v>607</v>
      </c>
      <c r="L12" s="4">
        <v>954</v>
      </c>
      <c r="M12" s="4">
        <v>655</v>
      </c>
      <c r="N12" s="4">
        <v>324</v>
      </c>
      <c r="O12" s="4">
        <v>603</v>
      </c>
      <c r="P12" s="4">
        <v>2659</v>
      </c>
      <c r="Q12" s="4">
        <v>138356</v>
      </c>
      <c r="R12" s="4">
        <f t="shared" si="0"/>
        <v>310694</v>
      </c>
      <c r="S12" s="4">
        <f t="shared" si="1"/>
        <v>169076</v>
      </c>
      <c r="T12" s="4">
        <f t="shared" si="2"/>
        <v>172338</v>
      </c>
      <c r="U12" s="6">
        <f t="shared" si="3"/>
        <v>1.8927920713945851E-2</v>
      </c>
      <c r="V12" s="6">
        <f t="shared" si="4"/>
        <v>0.44531275145319832</v>
      </c>
    </row>
    <row r="13" spans="1:22" ht="21" customHeight="1">
      <c r="A13" s="2" t="s">
        <v>17</v>
      </c>
      <c r="B13" s="4">
        <v>172975</v>
      </c>
      <c r="C13" s="4">
        <v>177643</v>
      </c>
      <c r="D13" s="4">
        <v>135883</v>
      </c>
      <c r="E13" s="4">
        <v>135880</v>
      </c>
      <c r="F13" s="4">
        <v>68058</v>
      </c>
      <c r="G13" s="4">
        <v>34676</v>
      </c>
      <c r="H13" s="4">
        <v>7674</v>
      </c>
      <c r="I13" s="4">
        <v>5889</v>
      </c>
      <c r="J13" s="4">
        <v>6395</v>
      </c>
      <c r="K13" s="4">
        <v>2659</v>
      </c>
      <c r="L13" s="4">
        <v>4048</v>
      </c>
      <c r="M13" s="4">
        <v>2339</v>
      </c>
      <c r="N13" s="4">
        <v>1497</v>
      </c>
      <c r="O13" s="4">
        <v>1163</v>
      </c>
      <c r="P13" s="4">
        <v>5643</v>
      </c>
      <c r="Q13" s="4">
        <v>352111</v>
      </c>
      <c r="R13" s="4">
        <f t="shared" si="0"/>
        <v>1114533</v>
      </c>
      <c r="S13" s="4">
        <f t="shared" si="1"/>
        <v>755616</v>
      </c>
      <c r="T13" s="4">
        <f t="shared" si="2"/>
        <v>762422</v>
      </c>
      <c r="U13" s="6">
        <f t="shared" si="3"/>
        <v>8.9268148085968144E-3</v>
      </c>
      <c r="V13" s="6">
        <f t="shared" si="4"/>
        <v>0.31592693980348718</v>
      </c>
    </row>
    <row r="14" spans="1:22" ht="21" customHeight="1">
      <c r="A14" s="2" t="s">
        <v>18</v>
      </c>
      <c r="B14" s="5">
        <f t="shared" ref="B14:T14" si="5">SUM(B7:B13)</f>
        <v>537992</v>
      </c>
      <c r="C14" s="5">
        <f t="shared" si="5"/>
        <v>464474</v>
      </c>
      <c r="D14" s="5">
        <f t="shared" si="5"/>
        <v>400757</v>
      </c>
      <c r="E14" s="5">
        <f t="shared" si="5"/>
        <v>343597</v>
      </c>
      <c r="F14" s="5">
        <f t="shared" si="5"/>
        <v>205359</v>
      </c>
      <c r="G14" s="5">
        <f t="shared" si="5"/>
        <v>106401</v>
      </c>
      <c r="H14" s="5">
        <f t="shared" si="5"/>
        <v>21859</v>
      </c>
      <c r="I14" s="5">
        <f t="shared" si="5"/>
        <v>16782</v>
      </c>
      <c r="J14" s="5">
        <f t="shared" si="5"/>
        <v>16297</v>
      </c>
      <c r="K14" s="5">
        <f t="shared" si="5"/>
        <v>12622</v>
      </c>
      <c r="L14" s="5">
        <f t="shared" si="5"/>
        <v>12288</v>
      </c>
      <c r="M14" s="5">
        <f t="shared" si="5"/>
        <v>7533</v>
      </c>
      <c r="N14" s="5">
        <f t="shared" si="5"/>
        <v>4345</v>
      </c>
      <c r="O14" s="5">
        <f t="shared" si="5"/>
        <v>5090</v>
      </c>
      <c r="P14" s="5">
        <f t="shared" si="5"/>
        <v>22937</v>
      </c>
      <c r="Q14" s="5">
        <f t="shared" si="5"/>
        <v>1112129</v>
      </c>
      <c r="R14" s="5">
        <f t="shared" si="5"/>
        <v>3290462</v>
      </c>
      <c r="S14" s="5">
        <f t="shared" si="5"/>
        <v>2150306</v>
      </c>
      <c r="T14" s="5">
        <f t="shared" si="5"/>
        <v>2178333</v>
      </c>
      <c r="U14" s="7">
        <f t="shared" si="3"/>
        <v>1.2866260576321434E-2</v>
      </c>
      <c r="V14" s="7">
        <f t="shared" si="4"/>
        <v>0.3379856688817558</v>
      </c>
    </row>
    <row r="15" spans="1:22" ht="21" customHeight="1">
      <c r="A15" s="2" t="s">
        <v>19</v>
      </c>
      <c r="B15" s="7">
        <f t="shared" ref="B15:N15" si="6">B14/$S$14</f>
        <v>0.25019322831262153</v>
      </c>
      <c r="C15" s="7">
        <f t="shared" si="6"/>
        <v>0.21600367575591567</v>
      </c>
      <c r="D15" s="7">
        <f t="shared" si="6"/>
        <v>0.1863720791366438</v>
      </c>
      <c r="E15" s="7">
        <f t="shared" si="6"/>
        <v>0.15978981596107716</v>
      </c>
      <c r="F15" s="7">
        <f t="shared" si="6"/>
        <v>9.5502221544282534E-2</v>
      </c>
      <c r="G15" s="7">
        <f t="shared" si="6"/>
        <v>4.9481794684105428E-2</v>
      </c>
      <c r="H15" s="7">
        <f t="shared" si="6"/>
        <v>1.0165529929228678E-2</v>
      </c>
      <c r="I15" s="7">
        <f t="shared" si="6"/>
        <v>7.8044706195304295E-3</v>
      </c>
      <c r="J15" s="7">
        <f t="shared" si="6"/>
        <v>7.5789213256159818E-3</v>
      </c>
      <c r="K15" s="7">
        <f t="shared" si="6"/>
        <v>5.8698622428621783E-3</v>
      </c>
      <c r="L15" s="7">
        <f t="shared" si="6"/>
        <v>5.7145355126200642E-3</v>
      </c>
      <c r="M15" s="7">
        <f t="shared" si="6"/>
        <v>3.503222332077388E-3</v>
      </c>
      <c r="N15" s="7">
        <f t="shared" si="6"/>
        <v>2.0206426434191227E-3</v>
      </c>
      <c r="O15" s="1"/>
      <c r="P15" s="1"/>
      <c r="Q15" s="1"/>
      <c r="R15" s="1"/>
      <c r="S15" s="1"/>
      <c r="T15" s="1"/>
      <c r="U15" s="1"/>
      <c r="V15" s="1"/>
    </row>
    <row r="17" spans="1:22" ht="28" customHeight="1">
      <c r="A17" s="2" t="s">
        <v>65</v>
      </c>
      <c r="B17" s="3" t="s">
        <v>60</v>
      </c>
      <c r="C17" s="3" t="s">
        <v>78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7</v>
      </c>
      <c r="I17" s="3" t="s">
        <v>8</v>
      </c>
      <c r="J17" s="3" t="s">
        <v>9</v>
      </c>
      <c r="K17" s="3" t="s">
        <v>10</v>
      </c>
    </row>
    <row r="18" spans="1:22" ht="21" customHeight="1">
      <c r="A18" s="2" t="s">
        <v>11</v>
      </c>
      <c r="B18" s="4">
        <v>256282</v>
      </c>
      <c r="C18" s="4">
        <v>172517</v>
      </c>
      <c r="D18" s="4">
        <v>936</v>
      </c>
      <c r="E18" s="4">
        <v>3679</v>
      </c>
      <c r="F18" s="4">
        <v>197836</v>
      </c>
      <c r="G18" s="4">
        <f t="shared" ref="G18:G24" si="7">I18+F18</f>
        <v>631250</v>
      </c>
      <c r="H18" s="4">
        <f t="shared" ref="H18:H24" si="8">SUM(B18:C18)</f>
        <v>428799</v>
      </c>
      <c r="I18" s="4">
        <f t="shared" ref="I18:I24" si="9">H18+D18+E18</f>
        <v>433414</v>
      </c>
      <c r="J18" s="6">
        <f t="shared" ref="J18:J25" si="10">(D18+E18)/I18</f>
        <v>1.0648017830526933E-2</v>
      </c>
      <c r="K18" s="6">
        <f t="shared" ref="K18:K25" si="11">F18/G18</f>
        <v>0.31340356435643563</v>
      </c>
    </row>
    <row r="19" spans="1:22" ht="21" customHeight="1">
      <c r="A19" s="2" t="s">
        <v>12</v>
      </c>
      <c r="B19" s="4">
        <v>211386</v>
      </c>
      <c r="C19" s="4">
        <v>71879</v>
      </c>
      <c r="D19" s="4">
        <v>607</v>
      </c>
      <c r="E19" s="4">
        <v>2610</v>
      </c>
      <c r="F19" s="4">
        <v>101460</v>
      </c>
      <c r="G19" s="4">
        <f t="shared" si="7"/>
        <v>387942</v>
      </c>
      <c r="H19" s="4">
        <f t="shared" si="8"/>
        <v>283265</v>
      </c>
      <c r="I19" s="4">
        <f t="shared" si="9"/>
        <v>286482</v>
      </c>
      <c r="J19" s="6">
        <f t="shared" si="10"/>
        <v>1.122932679889138E-2</v>
      </c>
      <c r="K19" s="6">
        <f t="shared" si="11"/>
        <v>0.26153394064061125</v>
      </c>
    </row>
    <row r="20" spans="1:22" ht="21" customHeight="1">
      <c r="A20" s="2" t="s">
        <v>13</v>
      </c>
      <c r="B20" s="4">
        <v>82596</v>
      </c>
      <c r="C20" s="4">
        <v>58403</v>
      </c>
      <c r="D20" s="4">
        <v>225</v>
      </c>
      <c r="E20" s="4">
        <v>1306</v>
      </c>
      <c r="F20" s="4">
        <v>98094</v>
      </c>
      <c r="G20" s="4">
        <f t="shared" si="7"/>
        <v>240624</v>
      </c>
      <c r="H20" s="4">
        <f t="shared" si="8"/>
        <v>140999</v>
      </c>
      <c r="I20" s="4">
        <f t="shared" si="9"/>
        <v>142530</v>
      </c>
      <c r="J20" s="6">
        <f t="shared" si="10"/>
        <v>1.0741598260015436E-2</v>
      </c>
      <c r="K20" s="6">
        <f t="shared" si="11"/>
        <v>0.40766507081587872</v>
      </c>
    </row>
    <row r="21" spans="1:22" ht="21" customHeight="1">
      <c r="A21" s="2" t="s">
        <v>14</v>
      </c>
      <c r="B21" s="4">
        <v>162041</v>
      </c>
      <c r="C21" s="4">
        <v>78819</v>
      </c>
      <c r="D21" s="4">
        <v>459</v>
      </c>
      <c r="E21" s="4">
        <v>1841</v>
      </c>
      <c r="F21" s="4">
        <v>89688</v>
      </c>
      <c r="G21" s="4">
        <f t="shared" si="7"/>
        <v>332848</v>
      </c>
      <c r="H21" s="4">
        <f t="shared" si="8"/>
        <v>240860</v>
      </c>
      <c r="I21" s="4">
        <f t="shared" si="9"/>
        <v>243160</v>
      </c>
      <c r="J21" s="6">
        <f t="shared" si="10"/>
        <v>9.4587925645665399E-3</v>
      </c>
      <c r="K21" s="6">
        <f t="shared" si="11"/>
        <v>0.26945632841417105</v>
      </c>
    </row>
    <row r="22" spans="1:22" ht="21" customHeight="1">
      <c r="A22" s="2" t="s">
        <v>15</v>
      </c>
      <c r="B22" s="4">
        <v>55277</v>
      </c>
      <c r="C22" s="4">
        <v>95599</v>
      </c>
      <c r="D22" s="4">
        <v>316</v>
      </c>
      <c r="E22" s="4">
        <v>1754</v>
      </c>
      <c r="F22" s="4">
        <v>119625</v>
      </c>
      <c r="G22" s="4">
        <f t="shared" si="7"/>
        <v>272571</v>
      </c>
      <c r="H22" s="4">
        <f t="shared" si="8"/>
        <v>150876</v>
      </c>
      <c r="I22" s="4">
        <f t="shared" si="9"/>
        <v>152946</v>
      </c>
      <c r="J22" s="6">
        <f t="shared" si="10"/>
        <v>1.3534188537130752E-2</v>
      </c>
      <c r="K22" s="6">
        <f t="shared" si="11"/>
        <v>0.43887647622087456</v>
      </c>
    </row>
    <row r="23" spans="1:22" ht="21" customHeight="1">
      <c r="A23" s="2" t="s">
        <v>16</v>
      </c>
      <c r="B23" s="4">
        <v>77755</v>
      </c>
      <c r="C23" s="4">
        <v>94869</v>
      </c>
      <c r="D23" s="4">
        <v>402</v>
      </c>
      <c r="E23" s="4">
        <v>1738</v>
      </c>
      <c r="F23" s="4">
        <v>135930</v>
      </c>
      <c r="G23" s="4">
        <f t="shared" si="7"/>
        <v>310694</v>
      </c>
      <c r="H23" s="4">
        <f t="shared" si="8"/>
        <v>172624</v>
      </c>
      <c r="I23" s="4">
        <f t="shared" si="9"/>
        <v>174764</v>
      </c>
      <c r="J23" s="6">
        <f t="shared" si="10"/>
        <v>1.2245084800073242E-2</v>
      </c>
      <c r="K23" s="6">
        <f t="shared" si="11"/>
        <v>0.43750442557629049</v>
      </c>
    </row>
    <row r="24" spans="1:22" ht="21" customHeight="1">
      <c r="A24" s="2" t="s">
        <v>17</v>
      </c>
      <c r="B24" s="4">
        <v>473864</v>
      </c>
      <c r="C24" s="4">
        <v>287233</v>
      </c>
      <c r="D24" s="4">
        <v>1581</v>
      </c>
      <c r="E24" s="4">
        <v>6763</v>
      </c>
      <c r="F24" s="4">
        <v>345092</v>
      </c>
      <c r="G24" s="4">
        <f t="shared" si="7"/>
        <v>1114533</v>
      </c>
      <c r="H24" s="4">
        <f t="shared" si="8"/>
        <v>761097</v>
      </c>
      <c r="I24" s="4">
        <f t="shared" si="9"/>
        <v>769441</v>
      </c>
      <c r="J24" s="6">
        <f t="shared" si="10"/>
        <v>1.0844236270227348E-2</v>
      </c>
      <c r="K24" s="6">
        <f t="shared" si="11"/>
        <v>0.30962923484544647</v>
      </c>
    </row>
    <row r="25" spans="1:22" ht="21" customHeight="1">
      <c r="A25" s="2" t="s">
        <v>18</v>
      </c>
      <c r="B25" s="5">
        <f t="shared" ref="B25:I25" si="12">SUM(B18:B24)</f>
        <v>1319201</v>
      </c>
      <c r="C25" s="5">
        <f t="shared" si="12"/>
        <v>859319</v>
      </c>
      <c r="D25" s="5">
        <f t="shared" si="12"/>
        <v>4526</v>
      </c>
      <c r="E25" s="5">
        <f t="shared" si="12"/>
        <v>19691</v>
      </c>
      <c r="F25" s="5">
        <f t="shared" si="12"/>
        <v>1087725</v>
      </c>
      <c r="G25" s="5">
        <f t="shared" si="12"/>
        <v>3290462</v>
      </c>
      <c r="H25" s="5">
        <f t="shared" si="12"/>
        <v>2178520</v>
      </c>
      <c r="I25" s="5">
        <f t="shared" si="12"/>
        <v>2202737</v>
      </c>
      <c r="J25" s="7">
        <f t="shared" si="10"/>
        <v>1.0994049675471924E-2</v>
      </c>
      <c r="K25" s="7">
        <f t="shared" si="11"/>
        <v>0.33056908118069744</v>
      </c>
    </row>
    <row r="26" spans="1:22" ht="21" customHeight="1">
      <c r="A26" s="2" t="s">
        <v>19</v>
      </c>
      <c r="B26" s="7">
        <f>B25/$H$25</f>
        <v>0.60554918017736814</v>
      </c>
      <c r="C26" s="7">
        <f>C25/$H$25</f>
        <v>0.39445081982263186</v>
      </c>
      <c r="D26" s="1"/>
      <c r="E26" s="1"/>
      <c r="F26" s="1"/>
      <c r="G26" s="1"/>
      <c r="H26" s="1"/>
      <c r="I26" s="1"/>
      <c r="J26" s="1"/>
      <c r="K26" s="1"/>
    </row>
    <row r="28" spans="1:22" ht="18" customHeight="1">
      <c r="A28" s="9" t="s">
        <v>86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 ht="18" customHeight="1">
      <c r="A29" s="9" t="s">
        <v>83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</sheetData>
  <mergeCells count="3">
    <mergeCell ref="A5:V5"/>
    <mergeCell ref="A28:V28"/>
    <mergeCell ref="A29:V2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5:AH29"/>
  <sheetViews>
    <sheetView workbookViewId="0"/>
  </sheetViews>
  <sheetFormatPr baseColWidth="10" defaultColWidth="8.83203125" defaultRowHeight="14"/>
  <cols>
    <col min="1" max="1" width="27" customWidth="1"/>
    <col min="2" max="3" width="118" customWidth="1"/>
    <col min="4" max="4" width="70" customWidth="1"/>
    <col min="5" max="5" width="102" customWidth="1"/>
    <col min="6" max="6" width="86" customWidth="1"/>
    <col min="7" max="7" width="62" customWidth="1"/>
    <col min="8" max="8" width="74" customWidth="1"/>
    <col min="9" max="9" width="70" customWidth="1"/>
    <col min="10" max="10" width="66" customWidth="1"/>
    <col min="11" max="11" width="74" customWidth="1"/>
    <col min="12" max="12" width="118" customWidth="1"/>
    <col min="13" max="13" width="122" customWidth="1"/>
    <col min="14" max="14" width="74" customWidth="1"/>
    <col min="15" max="15" width="94" customWidth="1"/>
    <col min="16" max="16" width="126" customWidth="1"/>
    <col min="17" max="17" width="62" customWidth="1"/>
    <col min="18" max="18" width="134" customWidth="1"/>
    <col min="19" max="19" width="118" customWidth="1"/>
    <col min="20" max="20" width="82" customWidth="1"/>
    <col min="21" max="21" width="66" customWidth="1"/>
    <col min="22" max="22" width="90" customWidth="1"/>
    <col min="23" max="23" width="174" customWidth="1"/>
    <col min="24" max="24" width="86" customWidth="1"/>
    <col min="25" max="25" width="58" customWidth="1"/>
    <col min="26" max="26" width="94" customWidth="1"/>
    <col min="27" max="32" width="20" customWidth="1"/>
    <col min="33" max="34" width="22" customWidth="1"/>
  </cols>
  <sheetData>
    <row r="5" spans="1:34" ht="28" customHeight="1">
      <c r="A5" s="8">
        <v>2022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4" ht="28" customHeight="1">
      <c r="A6" s="2" t="s">
        <v>0</v>
      </c>
      <c r="B6" s="3" t="s">
        <v>1</v>
      </c>
      <c r="C6" s="3" t="s">
        <v>87</v>
      </c>
      <c r="D6" s="3" t="s">
        <v>88</v>
      </c>
      <c r="E6" s="3" t="s">
        <v>43</v>
      </c>
      <c r="F6" s="3" t="s">
        <v>89</v>
      </c>
      <c r="G6" s="3" t="s">
        <v>74</v>
      </c>
      <c r="H6" s="3" t="s">
        <v>90</v>
      </c>
      <c r="I6" s="3" t="s">
        <v>91</v>
      </c>
      <c r="J6" s="3" t="s">
        <v>92</v>
      </c>
      <c r="K6" s="3" t="s">
        <v>60</v>
      </c>
      <c r="L6" s="3" t="s">
        <v>73</v>
      </c>
      <c r="M6" s="3" t="s">
        <v>84</v>
      </c>
      <c r="N6" s="3" t="s">
        <v>79</v>
      </c>
      <c r="O6" s="3" t="s">
        <v>78</v>
      </c>
      <c r="P6" s="3" t="s">
        <v>93</v>
      </c>
      <c r="Q6" s="3" t="s">
        <v>94</v>
      </c>
      <c r="R6" s="3" t="s">
        <v>95</v>
      </c>
      <c r="S6" s="3" t="s">
        <v>85</v>
      </c>
      <c r="T6" s="3" t="s">
        <v>96</v>
      </c>
      <c r="U6" s="3" t="s">
        <v>97</v>
      </c>
      <c r="V6" s="3" t="s">
        <v>53</v>
      </c>
      <c r="W6" s="3" t="s">
        <v>98</v>
      </c>
      <c r="X6" s="3" t="s">
        <v>80</v>
      </c>
      <c r="Y6" s="3" t="s">
        <v>56</v>
      </c>
      <c r="Z6" s="3" t="s">
        <v>55</v>
      </c>
      <c r="AA6" s="3" t="s">
        <v>3</v>
      </c>
      <c r="AB6" s="3" t="s">
        <v>4</v>
      </c>
      <c r="AC6" s="3" t="s">
        <v>5</v>
      </c>
      <c r="AD6" s="3" t="s">
        <v>6</v>
      </c>
      <c r="AE6" s="3" t="s">
        <v>7</v>
      </c>
      <c r="AF6" s="3" t="s">
        <v>8</v>
      </c>
      <c r="AG6" s="3" t="s">
        <v>9</v>
      </c>
      <c r="AH6" s="3" t="s">
        <v>10</v>
      </c>
    </row>
    <row r="7" spans="1:34" ht="21" customHeight="1">
      <c r="A7" s="2" t="s">
        <v>11</v>
      </c>
      <c r="B7" s="4">
        <v>114762</v>
      </c>
      <c r="C7" s="4">
        <v>92449</v>
      </c>
      <c r="D7" s="4">
        <v>61784</v>
      </c>
      <c r="E7" s="4">
        <v>46047</v>
      </c>
      <c r="F7" s="4">
        <v>47042</v>
      </c>
      <c r="G7" s="4">
        <v>30530</v>
      </c>
      <c r="H7" s="4">
        <v>4354</v>
      </c>
      <c r="I7" s="4">
        <v>2378</v>
      </c>
      <c r="J7" s="4">
        <v>2644</v>
      </c>
      <c r="K7" s="4">
        <v>2389</v>
      </c>
      <c r="L7" s="4">
        <v>1958</v>
      </c>
      <c r="M7" s="4">
        <v>2298</v>
      </c>
      <c r="N7" s="4">
        <v>2530</v>
      </c>
      <c r="O7" s="4">
        <v>1185</v>
      </c>
      <c r="P7" s="4">
        <v>782</v>
      </c>
      <c r="Q7" s="4">
        <v>1366</v>
      </c>
      <c r="R7" s="4">
        <v>1097</v>
      </c>
      <c r="S7" s="4">
        <v>1142</v>
      </c>
      <c r="T7" s="4">
        <v>819</v>
      </c>
      <c r="U7" s="4">
        <v>456</v>
      </c>
      <c r="V7" s="4">
        <v>645</v>
      </c>
      <c r="W7" s="4">
        <v>481</v>
      </c>
      <c r="X7" s="4">
        <v>385</v>
      </c>
      <c r="Y7" s="4">
        <v>280</v>
      </c>
      <c r="Z7" s="4">
        <v>264</v>
      </c>
      <c r="AA7" s="4">
        <v>2200</v>
      </c>
      <c r="AB7" s="4">
        <v>3139</v>
      </c>
      <c r="AC7" s="4">
        <v>254439</v>
      </c>
      <c r="AD7" s="4">
        <f t="shared" ref="AD7:AD13" si="0">AF7+AC7</f>
        <v>679845</v>
      </c>
      <c r="AE7" s="4">
        <f t="shared" ref="AE7:AE13" si="1">SUM(B7:Z7)</f>
        <v>420067</v>
      </c>
      <c r="AF7" s="4">
        <f t="shared" ref="AF7:AF13" si="2">AE7+AA7+AB7</f>
        <v>425406</v>
      </c>
      <c r="AG7" s="6">
        <f t="shared" ref="AG7:AG14" si="3">(AA7+AB7)/AF7</f>
        <v>1.2550363652604805E-2</v>
      </c>
      <c r="AH7" s="6">
        <f t="shared" ref="AH7:AH14" si="4">AC7/AD7</f>
        <v>0.37426030933521609</v>
      </c>
    </row>
    <row r="8" spans="1:34" ht="21" customHeight="1">
      <c r="A8" s="2" t="s">
        <v>12</v>
      </c>
      <c r="B8" s="4">
        <v>80684</v>
      </c>
      <c r="C8" s="4">
        <v>36748</v>
      </c>
      <c r="D8" s="4">
        <v>23963</v>
      </c>
      <c r="E8" s="4">
        <v>41196</v>
      </c>
      <c r="F8" s="4">
        <v>36895</v>
      </c>
      <c r="G8" s="4">
        <v>27327</v>
      </c>
      <c r="H8" s="4">
        <v>2010</v>
      </c>
      <c r="I8" s="4">
        <v>2939</v>
      </c>
      <c r="J8" s="4">
        <v>3033</v>
      </c>
      <c r="K8" s="4">
        <v>1737</v>
      </c>
      <c r="L8" s="4">
        <v>1851</v>
      </c>
      <c r="M8" s="4">
        <v>1982</v>
      </c>
      <c r="N8" s="4">
        <v>1359</v>
      </c>
      <c r="O8" s="4">
        <v>1495</v>
      </c>
      <c r="P8" s="4">
        <v>820</v>
      </c>
      <c r="Q8" s="4">
        <v>779</v>
      </c>
      <c r="R8" s="4">
        <v>1025</v>
      </c>
      <c r="S8" s="4">
        <v>778</v>
      </c>
      <c r="T8" s="4">
        <v>733</v>
      </c>
      <c r="U8" s="4">
        <v>491</v>
      </c>
      <c r="V8" s="4">
        <v>349</v>
      </c>
      <c r="W8" s="4">
        <v>221</v>
      </c>
      <c r="X8" s="4">
        <v>270</v>
      </c>
      <c r="Y8" s="4">
        <v>152</v>
      </c>
      <c r="Z8" s="4">
        <v>225</v>
      </c>
      <c r="AA8" s="4">
        <v>1546</v>
      </c>
      <c r="AB8" s="4">
        <v>2538</v>
      </c>
      <c r="AC8" s="4">
        <v>136732</v>
      </c>
      <c r="AD8" s="4">
        <f t="shared" si="0"/>
        <v>409878</v>
      </c>
      <c r="AE8" s="4">
        <f t="shared" si="1"/>
        <v>269062</v>
      </c>
      <c r="AF8" s="4">
        <f t="shared" si="2"/>
        <v>273146</v>
      </c>
      <c r="AG8" s="6">
        <f t="shared" si="3"/>
        <v>1.4951710806674819E-2</v>
      </c>
      <c r="AH8" s="6">
        <f t="shared" si="4"/>
        <v>0.33359194687199606</v>
      </c>
    </row>
    <row r="9" spans="1:34" ht="21" customHeight="1">
      <c r="A9" s="2" t="s">
        <v>13</v>
      </c>
      <c r="B9" s="4">
        <v>37923</v>
      </c>
      <c r="C9" s="4">
        <v>22406</v>
      </c>
      <c r="D9" s="4">
        <v>23392</v>
      </c>
      <c r="E9" s="4">
        <v>21907</v>
      </c>
      <c r="F9" s="4">
        <v>7934</v>
      </c>
      <c r="G9" s="4">
        <v>8202</v>
      </c>
      <c r="H9" s="4">
        <v>1417</v>
      </c>
      <c r="I9" s="4">
        <v>1548</v>
      </c>
      <c r="J9" s="4">
        <v>997</v>
      </c>
      <c r="K9" s="4">
        <v>1224</v>
      </c>
      <c r="L9" s="4">
        <v>912</v>
      </c>
      <c r="M9" s="4">
        <v>704</v>
      </c>
      <c r="N9" s="4">
        <v>688</v>
      </c>
      <c r="O9" s="4">
        <v>641</v>
      </c>
      <c r="P9" s="4">
        <v>513</v>
      </c>
      <c r="Q9" s="4">
        <v>432</v>
      </c>
      <c r="R9" s="4">
        <v>636</v>
      </c>
      <c r="S9" s="4">
        <v>301</v>
      </c>
      <c r="T9" s="4">
        <v>434</v>
      </c>
      <c r="U9" s="4">
        <v>198</v>
      </c>
      <c r="V9" s="4">
        <v>276</v>
      </c>
      <c r="W9" s="4">
        <v>261</v>
      </c>
      <c r="X9" s="4">
        <v>113</v>
      </c>
      <c r="Y9" s="4">
        <v>80</v>
      </c>
      <c r="Z9" s="4">
        <v>131</v>
      </c>
      <c r="AA9" s="4">
        <v>1300</v>
      </c>
      <c r="AB9" s="4">
        <v>1895</v>
      </c>
      <c r="AC9" s="4">
        <v>123529</v>
      </c>
      <c r="AD9" s="4">
        <f t="shared" si="0"/>
        <v>259994</v>
      </c>
      <c r="AE9" s="4">
        <f t="shared" si="1"/>
        <v>133270</v>
      </c>
      <c r="AF9" s="4">
        <f t="shared" si="2"/>
        <v>136465</v>
      </c>
      <c r="AG9" s="6">
        <f t="shared" si="3"/>
        <v>2.3412596636500201E-2</v>
      </c>
      <c r="AH9" s="6">
        <f t="shared" si="4"/>
        <v>0.47512250282698831</v>
      </c>
    </row>
    <row r="10" spans="1:34" ht="21" customHeight="1">
      <c r="A10" s="2" t="s">
        <v>14</v>
      </c>
      <c r="B10" s="4">
        <v>61618</v>
      </c>
      <c r="C10" s="4">
        <v>38982</v>
      </c>
      <c r="D10" s="4">
        <v>26196</v>
      </c>
      <c r="E10" s="4">
        <v>26618</v>
      </c>
      <c r="F10" s="4">
        <v>40126</v>
      </c>
      <c r="G10" s="4">
        <v>24002</v>
      </c>
      <c r="H10" s="4">
        <v>2172</v>
      </c>
      <c r="I10" s="4">
        <v>1471</v>
      </c>
      <c r="J10" s="4">
        <v>1956</v>
      </c>
      <c r="K10" s="4">
        <v>1688</v>
      </c>
      <c r="L10" s="4">
        <v>1297</v>
      </c>
      <c r="M10" s="4">
        <v>947</v>
      </c>
      <c r="N10" s="4">
        <v>1381</v>
      </c>
      <c r="O10" s="4">
        <v>801</v>
      </c>
      <c r="P10" s="4">
        <v>391</v>
      </c>
      <c r="Q10" s="4">
        <v>792</v>
      </c>
      <c r="R10" s="4">
        <v>538</v>
      </c>
      <c r="S10" s="4">
        <v>434</v>
      </c>
      <c r="T10" s="4">
        <v>435</v>
      </c>
      <c r="U10" s="4">
        <v>327</v>
      </c>
      <c r="V10" s="4">
        <v>185</v>
      </c>
      <c r="W10" s="4">
        <v>143</v>
      </c>
      <c r="X10" s="4">
        <v>185</v>
      </c>
      <c r="Y10" s="4">
        <v>120</v>
      </c>
      <c r="Z10" s="4">
        <v>150</v>
      </c>
      <c r="AA10" s="4">
        <v>801</v>
      </c>
      <c r="AB10" s="4">
        <v>1303</v>
      </c>
      <c r="AC10" s="4">
        <v>120679</v>
      </c>
      <c r="AD10" s="4">
        <f t="shared" si="0"/>
        <v>355738</v>
      </c>
      <c r="AE10" s="4">
        <f t="shared" si="1"/>
        <v>232955</v>
      </c>
      <c r="AF10" s="4">
        <f t="shared" si="2"/>
        <v>235059</v>
      </c>
      <c r="AG10" s="6">
        <f t="shared" si="3"/>
        <v>8.950944231022849E-3</v>
      </c>
      <c r="AH10" s="6">
        <f t="shared" si="4"/>
        <v>0.33923561722391199</v>
      </c>
    </row>
    <row r="11" spans="1:34" ht="21" customHeight="1">
      <c r="A11" s="2" t="s">
        <v>15</v>
      </c>
      <c r="B11" s="4">
        <v>30901</v>
      </c>
      <c r="C11" s="4">
        <v>17377</v>
      </c>
      <c r="D11" s="4">
        <v>43953</v>
      </c>
      <c r="E11" s="4">
        <v>20799</v>
      </c>
      <c r="F11" s="4">
        <v>6202</v>
      </c>
      <c r="G11" s="4">
        <v>9978</v>
      </c>
      <c r="H11" s="4">
        <v>2294</v>
      </c>
      <c r="I11" s="4">
        <v>1760</v>
      </c>
      <c r="J11" s="4">
        <v>1205</v>
      </c>
      <c r="K11" s="4">
        <v>673</v>
      </c>
      <c r="L11" s="4">
        <v>1238</v>
      </c>
      <c r="M11" s="4">
        <v>876</v>
      </c>
      <c r="N11" s="4">
        <v>738</v>
      </c>
      <c r="O11" s="4">
        <v>2840</v>
      </c>
      <c r="P11" s="4">
        <v>2383</v>
      </c>
      <c r="Q11" s="4">
        <v>463</v>
      </c>
      <c r="R11" s="4">
        <v>708</v>
      </c>
      <c r="S11" s="4">
        <v>694</v>
      </c>
      <c r="T11" s="4">
        <v>412</v>
      </c>
      <c r="U11" s="4">
        <v>219</v>
      </c>
      <c r="V11" s="4">
        <v>368</v>
      </c>
      <c r="W11" s="4">
        <v>174</v>
      </c>
      <c r="X11" s="4">
        <v>183</v>
      </c>
      <c r="Y11" s="4">
        <v>145</v>
      </c>
      <c r="Z11" s="4">
        <v>116</v>
      </c>
      <c r="AA11" s="4">
        <v>1408</v>
      </c>
      <c r="AB11" s="4">
        <v>2107</v>
      </c>
      <c r="AC11" s="4">
        <v>144717</v>
      </c>
      <c r="AD11" s="4">
        <f t="shared" si="0"/>
        <v>294931</v>
      </c>
      <c r="AE11" s="4">
        <f t="shared" si="1"/>
        <v>146699</v>
      </c>
      <c r="AF11" s="4">
        <f t="shared" si="2"/>
        <v>150214</v>
      </c>
      <c r="AG11" s="6">
        <f t="shared" si="3"/>
        <v>2.3399949405514799E-2</v>
      </c>
      <c r="AH11" s="6">
        <f t="shared" si="4"/>
        <v>0.49068087111900749</v>
      </c>
    </row>
    <row r="12" spans="1:34" ht="21" customHeight="1">
      <c r="A12" s="2" t="s">
        <v>16</v>
      </c>
      <c r="B12" s="4">
        <v>40513</v>
      </c>
      <c r="C12" s="4">
        <v>26506</v>
      </c>
      <c r="D12" s="4">
        <v>41072</v>
      </c>
      <c r="E12" s="4">
        <v>21710</v>
      </c>
      <c r="F12" s="4">
        <v>6419</v>
      </c>
      <c r="G12" s="4">
        <v>10887</v>
      </c>
      <c r="H12" s="4">
        <v>1613</v>
      </c>
      <c r="I12" s="4">
        <v>1408</v>
      </c>
      <c r="J12" s="4">
        <v>959</v>
      </c>
      <c r="K12" s="4">
        <v>989</v>
      </c>
      <c r="L12" s="4">
        <v>827</v>
      </c>
      <c r="M12" s="4">
        <v>1210</v>
      </c>
      <c r="N12" s="4">
        <v>792</v>
      </c>
      <c r="O12" s="4">
        <v>1382</v>
      </c>
      <c r="P12" s="4">
        <v>560</v>
      </c>
      <c r="Q12" s="4">
        <v>508</v>
      </c>
      <c r="R12" s="4">
        <v>668</v>
      </c>
      <c r="S12" s="4">
        <v>732</v>
      </c>
      <c r="T12" s="4">
        <v>788</v>
      </c>
      <c r="U12" s="4">
        <v>276</v>
      </c>
      <c r="V12" s="4">
        <v>319</v>
      </c>
      <c r="W12" s="4">
        <v>251</v>
      </c>
      <c r="X12" s="4">
        <v>129</v>
      </c>
      <c r="Y12" s="4">
        <v>103</v>
      </c>
      <c r="Z12" s="4">
        <v>133</v>
      </c>
      <c r="AA12" s="4">
        <v>1305</v>
      </c>
      <c r="AB12" s="4">
        <v>2034</v>
      </c>
      <c r="AC12" s="4">
        <v>168771</v>
      </c>
      <c r="AD12" s="4">
        <f t="shared" si="0"/>
        <v>332864</v>
      </c>
      <c r="AE12" s="4">
        <f t="shared" si="1"/>
        <v>160754</v>
      </c>
      <c r="AF12" s="4">
        <f t="shared" si="2"/>
        <v>164093</v>
      </c>
      <c r="AG12" s="6">
        <f t="shared" si="3"/>
        <v>2.0348217169531911E-2</v>
      </c>
      <c r="AH12" s="6">
        <f t="shared" si="4"/>
        <v>0.50702689386656408</v>
      </c>
    </row>
    <row r="13" spans="1:34" ht="21" customHeight="1">
      <c r="A13" s="2" t="s">
        <v>17</v>
      </c>
      <c r="B13" s="4">
        <v>203483</v>
      </c>
      <c r="C13" s="4">
        <v>116052</v>
      </c>
      <c r="D13" s="4">
        <v>90879</v>
      </c>
      <c r="E13" s="4">
        <v>80925</v>
      </c>
      <c r="F13" s="4">
        <v>113850</v>
      </c>
      <c r="G13" s="4">
        <v>70803</v>
      </c>
      <c r="H13" s="4">
        <v>6045</v>
      </c>
      <c r="I13" s="4">
        <v>5057</v>
      </c>
      <c r="J13" s="4">
        <v>5668</v>
      </c>
      <c r="K13" s="4">
        <v>5000</v>
      </c>
      <c r="L13" s="4">
        <v>4329</v>
      </c>
      <c r="M13" s="4">
        <v>4191</v>
      </c>
      <c r="N13" s="4">
        <v>4135</v>
      </c>
      <c r="O13" s="4">
        <v>2800</v>
      </c>
      <c r="P13" s="4">
        <v>1294</v>
      </c>
      <c r="Q13" s="4">
        <v>2273</v>
      </c>
      <c r="R13" s="4">
        <v>1924</v>
      </c>
      <c r="S13" s="4">
        <v>1602</v>
      </c>
      <c r="T13" s="4">
        <v>1015</v>
      </c>
      <c r="U13" s="4">
        <v>1375</v>
      </c>
      <c r="V13" s="4">
        <v>873</v>
      </c>
      <c r="W13" s="4">
        <v>498</v>
      </c>
      <c r="X13" s="4">
        <v>680</v>
      </c>
      <c r="Y13" s="4">
        <v>611</v>
      </c>
      <c r="Z13" s="4">
        <v>385</v>
      </c>
      <c r="AA13" s="4">
        <v>3039</v>
      </c>
      <c r="AB13" s="4">
        <v>4620</v>
      </c>
      <c r="AC13" s="4">
        <v>424422</v>
      </c>
      <c r="AD13" s="4">
        <f t="shared" si="0"/>
        <v>1157828</v>
      </c>
      <c r="AE13" s="4">
        <f t="shared" si="1"/>
        <v>725747</v>
      </c>
      <c r="AF13" s="4">
        <f t="shared" si="2"/>
        <v>733406</v>
      </c>
      <c r="AG13" s="6">
        <f t="shared" si="3"/>
        <v>1.0443056097168554E-2</v>
      </c>
      <c r="AH13" s="6">
        <f t="shared" si="4"/>
        <v>0.36656740033925594</v>
      </c>
    </row>
    <row r="14" spans="1:34" ht="21" customHeight="1">
      <c r="A14" s="2" t="s">
        <v>18</v>
      </c>
      <c r="B14" s="5">
        <f t="shared" ref="B14:AF14" si="5">SUM(B7:B13)</f>
        <v>569884</v>
      </c>
      <c r="C14" s="5">
        <f t="shared" si="5"/>
        <v>350520</v>
      </c>
      <c r="D14" s="5">
        <f t="shared" si="5"/>
        <v>311239</v>
      </c>
      <c r="E14" s="5">
        <f t="shared" si="5"/>
        <v>259202</v>
      </c>
      <c r="F14" s="5">
        <f t="shared" si="5"/>
        <v>258468</v>
      </c>
      <c r="G14" s="5">
        <f t="shared" si="5"/>
        <v>181729</v>
      </c>
      <c r="H14" s="5">
        <f t="shared" si="5"/>
        <v>19905</v>
      </c>
      <c r="I14" s="5">
        <f t="shared" si="5"/>
        <v>16561</v>
      </c>
      <c r="J14" s="5">
        <f t="shared" si="5"/>
        <v>16462</v>
      </c>
      <c r="K14" s="5">
        <f t="shared" si="5"/>
        <v>13700</v>
      </c>
      <c r="L14" s="5">
        <f t="shared" si="5"/>
        <v>12412</v>
      </c>
      <c r="M14" s="5">
        <f t="shared" si="5"/>
        <v>12208</v>
      </c>
      <c r="N14" s="5">
        <f t="shared" si="5"/>
        <v>11623</v>
      </c>
      <c r="O14" s="5">
        <f t="shared" si="5"/>
        <v>11144</v>
      </c>
      <c r="P14" s="5">
        <f t="shared" si="5"/>
        <v>6743</v>
      </c>
      <c r="Q14" s="5">
        <f t="shared" si="5"/>
        <v>6613</v>
      </c>
      <c r="R14" s="5">
        <f t="shared" si="5"/>
        <v>6596</v>
      </c>
      <c r="S14" s="5">
        <f t="shared" si="5"/>
        <v>5683</v>
      </c>
      <c r="T14" s="5">
        <f t="shared" si="5"/>
        <v>4636</v>
      </c>
      <c r="U14" s="5">
        <f t="shared" si="5"/>
        <v>3342</v>
      </c>
      <c r="V14" s="5">
        <f t="shared" si="5"/>
        <v>3015</v>
      </c>
      <c r="W14" s="5">
        <f t="shared" si="5"/>
        <v>2029</v>
      </c>
      <c r="X14" s="5">
        <f t="shared" si="5"/>
        <v>1945</v>
      </c>
      <c r="Y14" s="5">
        <f t="shared" si="5"/>
        <v>1491</v>
      </c>
      <c r="Z14" s="5">
        <f t="shared" si="5"/>
        <v>1404</v>
      </c>
      <c r="AA14" s="5">
        <f t="shared" si="5"/>
        <v>11599</v>
      </c>
      <c r="AB14" s="5">
        <f t="shared" si="5"/>
        <v>17636</v>
      </c>
      <c r="AC14" s="5">
        <f t="shared" si="5"/>
        <v>1373289</v>
      </c>
      <c r="AD14" s="5">
        <f t="shared" si="5"/>
        <v>3491078</v>
      </c>
      <c r="AE14" s="5">
        <f t="shared" si="5"/>
        <v>2088554</v>
      </c>
      <c r="AF14" s="5">
        <f t="shared" si="5"/>
        <v>2117789</v>
      </c>
      <c r="AG14" s="7">
        <f t="shared" si="3"/>
        <v>1.380449138228596E-2</v>
      </c>
      <c r="AH14" s="7">
        <f t="shared" si="4"/>
        <v>0.39337104470309742</v>
      </c>
    </row>
    <row r="15" spans="1:34" ht="21" customHeight="1">
      <c r="A15" s="2" t="s">
        <v>19</v>
      </c>
      <c r="B15" s="7">
        <f t="shared" ref="B15:Z15" si="6">B14/$AE$14</f>
        <v>0.27286055328231879</v>
      </c>
      <c r="C15" s="7">
        <f t="shared" si="6"/>
        <v>0.16782903386745088</v>
      </c>
      <c r="D15" s="7">
        <f t="shared" si="6"/>
        <v>0.14902128458253894</v>
      </c>
      <c r="E15" s="7">
        <f t="shared" si="6"/>
        <v>0.12410596039173515</v>
      </c>
      <c r="F15" s="7">
        <f t="shared" si="6"/>
        <v>0.12375452107055887</v>
      </c>
      <c r="G15" s="7">
        <f t="shared" si="6"/>
        <v>8.7011875201694566E-2</v>
      </c>
      <c r="H15" s="7">
        <f t="shared" si="6"/>
        <v>9.5305172861223607E-3</v>
      </c>
      <c r="I15" s="7">
        <f t="shared" si="6"/>
        <v>7.9294095340604071E-3</v>
      </c>
      <c r="J15" s="7">
        <f t="shared" si="6"/>
        <v>7.8820083177164671E-3</v>
      </c>
      <c r="K15" s="7">
        <f t="shared" si="6"/>
        <v>6.5595622617370675E-3</v>
      </c>
      <c r="L15" s="7">
        <f t="shared" si="6"/>
        <v>5.9428676491007654E-3</v>
      </c>
      <c r="M15" s="7">
        <f t="shared" si="6"/>
        <v>5.8451924154223449E-3</v>
      </c>
      <c r="N15" s="7">
        <f t="shared" si="6"/>
        <v>5.5650943188445216E-3</v>
      </c>
      <c r="O15" s="7">
        <f t="shared" si="6"/>
        <v>5.3357490397662691E-3</v>
      </c>
      <c r="P15" s="7">
        <f t="shared" si="6"/>
        <v>3.228549513203872E-3</v>
      </c>
      <c r="Q15" s="7">
        <f t="shared" si="6"/>
        <v>3.1663054917421335E-3</v>
      </c>
      <c r="R15" s="7">
        <f t="shared" si="6"/>
        <v>3.1581658889355984E-3</v>
      </c>
      <c r="S15" s="7">
        <f t="shared" si="6"/>
        <v>2.7210213382081573E-3</v>
      </c>
      <c r="T15" s="7">
        <f t="shared" si="6"/>
        <v>2.2197175653586167E-3</v>
      </c>
      <c r="U15" s="7">
        <f t="shared" si="6"/>
        <v>1.6001501517317724E-3</v>
      </c>
      <c r="V15" s="7">
        <f t="shared" si="6"/>
        <v>1.4435824977472452E-3</v>
      </c>
      <c r="W15" s="7">
        <f t="shared" si="6"/>
        <v>9.7148553496821243E-4</v>
      </c>
      <c r="X15" s="7">
        <f t="shared" si="6"/>
        <v>9.3126632110062746E-4</v>
      </c>
      <c r="Y15" s="7">
        <f t="shared" si="6"/>
        <v>7.1389104614963275E-4</v>
      </c>
      <c r="Z15" s="7">
        <f t="shared" si="6"/>
        <v>6.7223543178677688E-4</v>
      </c>
      <c r="AA15" s="1"/>
      <c r="AB15" s="1"/>
      <c r="AC15" s="1"/>
      <c r="AD15" s="1"/>
      <c r="AE15" s="1"/>
      <c r="AF15" s="1"/>
      <c r="AG15" s="1"/>
      <c r="AH15" s="1"/>
    </row>
    <row r="17" spans="1:34" ht="28" customHeight="1">
      <c r="A17" s="2" t="s">
        <v>65</v>
      </c>
      <c r="B17" s="3" t="s">
        <v>87</v>
      </c>
      <c r="C17" s="3" t="s">
        <v>1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7</v>
      </c>
      <c r="I17" s="3" t="s">
        <v>8</v>
      </c>
      <c r="J17" s="3" t="s">
        <v>9</v>
      </c>
      <c r="K17" s="3" t="s">
        <v>10</v>
      </c>
    </row>
    <row r="18" spans="1:34" ht="21" customHeight="1">
      <c r="A18" s="2" t="s">
        <v>11</v>
      </c>
      <c r="B18" s="4">
        <v>223299</v>
      </c>
      <c r="C18" s="4">
        <v>172399</v>
      </c>
      <c r="D18" s="4">
        <v>1462</v>
      </c>
      <c r="E18" s="4">
        <v>7853</v>
      </c>
      <c r="F18" s="4">
        <v>274834</v>
      </c>
      <c r="G18" s="4">
        <f t="shared" ref="G18:G24" si="7">I18+F18</f>
        <v>679847</v>
      </c>
      <c r="H18" s="4">
        <f t="shared" ref="H18:H24" si="8">SUM(B18:C18)</f>
        <v>395698</v>
      </c>
      <c r="I18" s="4">
        <f t="shared" ref="I18:I24" si="9">H18+D18+E18</f>
        <v>405013</v>
      </c>
      <c r="J18" s="6">
        <f t="shared" ref="J18:J25" si="10">(D18+E18)/I18</f>
        <v>2.299926175209191E-2</v>
      </c>
      <c r="K18" s="6">
        <f t="shared" ref="K18:K25" si="11">F18/G18</f>
        <v>0.40425860524500368</v>
      </c>
    </row>
    <row r="19" spans="1:34" ht="21" customHeight="1">
      <c r="A19" s="2" t="s">
        <v>12</v>
      </c>
      <c r="B19" s="4">
        <v>121948</v>
      </c>
      <c r="C19" s="4">
        <v>132694</v>
      </c>
      <c r="D19" s="4">
        <v>1314</v>
      </c>
      <c r="E19" s="4">
        <v>6600</v>
      </c>
      <c r="F19" s="4">
        <v>147328</v>
      </c>
      <c r="G19" s="4">
        <f t="shared" si="7"/>
        <v>409884</v>
      </c>
      <c r="H19" s="4">
        <f t="shared" si="8"/>
        <v>254642</v>
      </c>
      <c r="I19" s="4">
        <f t="shared" si="9"/>
        <v>262556</v>
      </c>
      <c r="J19" s="6">
        <f t="shared" si="10"/>
        <v>3.0142141105135665E-2</v>
      </c>
      <c r="K19" s="6">
        <f t="shared" si="11"/>
        <v>0.35943828009875967</v>
      </c>
    </row>
    <row r="20" spans="1:34" ht="21" customHeight="1">
      <c r="A20" s="2" t="s">
        <v>13</v>
      </c>
      <c r="B20" s="4">
        <v>70178</v>
      </c>
      <c r="C20" s="4">
        <v>56216</v>
      </c>
      <c r="D20" s="4">
        <v>421</v>
      </c>
      <c r="E20" s="4">
        <v>2375</v>
      </c>
      <c r="F20" s="4">
        <v>130805</v>
      </c>
      <c r="G20" s="4">
        <f t="shared" si="7"/>
        <v>259995</v>
      </c>
      <c r="H20" s="4">
        <f t="shared" si="8"/>
        <v>126394</v>
      </c>
      <c r="I20" s="4">
        <f t="shared" si="9"/>
        <v>129190</v>
      </c>
      <c r="J20" s="6">
        <f t="shared" si="10"/>
        <v>2.1642541992414274E-2</v>
      </c>
      <c r="K20" s="6">
        <f t="shared" si="11"/>
        <v>0.50310582895824918</v>
      </c>
    </row>
    <row r="21" spans="1:34" ht="21" customHeight="1">
      <c r="A21" s="2" t="s">
        <v>14</v>
      </c>
      <c r="B21" s="4">
        <v>111679</v>
      </c>
      <c r="C21" s="4">
        <v>105574</v>
      </c>
      <c r="D21" s="4">
        <v>793</v>
      </c>
      <c r="E21" s="4">
        <v>5334</v>
      </c>
      <c r="F21" s="4">
        <v>132361</v>
      </c>
      <c r="G21" s="4">
        <f t="shared" si="7"/>
        <v>355741</v>
      </c>
      <c r="H21" s="4">
        <f t="shared" si="8"/>
        <v>217253</v>
      </c>
      <c r="I21" s="4">
        <f t="shared" si="9"/>
        <v>223380</v>
      </c>
      <c r="J21" s="6">
        <f t="shared" si="10"/>
        <v>2.7428597009580089E-2</v>
      </c>
      <c r="K21" s="6">
        <f t="shared" si="11"/>
        <v>0.37207125408654051</v>
      </c>
    </row>
    <row r="22" spans="1:34" ht="21" customHeight="1">
      <c r="A22" s="2" t="s">
        <v>15</v>
      </c>
      <c r="B22" s="4">
        <v>84184</v>
      </c>
      <c r="C22" s="4">
        <v>49860</v>
      </c>
      <c r="D22" s="4">
        <v>592</v>
      </c>
      <c r="E22" s="4">
        <v>3055</v>
      </c>
      <c r="F22" s="4">
        <v>157238</v>
      </c>
      <c r="G22" s="4">
        <f t="shared" si="7"/>
        <v>294929</v>
      </c>
      <c r="H22" s="4">
        <f t="shared" si="8"/>
        <v>134044</v>
      </c>
      <c r="I22" s="4">
        <f t="shared" si="9"/>
        <v>137691</v>
      </c>
      <c r="J22" s="6">
        <f t="shared" si="10"/>
        <v>2.6486843729800785E-2</v>
      </c>
      <c r="K22" s="6">
        <f t="shared" si="11"/>
        <v>0.53313848417754783</v>
      </c>
    </row>
    <row r="23" spans="1:34" ht="21" customHeight="1">
      <c r="A23" s="2" t="s">
        <v>16</v>
      </c>
      <c r="B23" s="4">
        <v>93402</v>
      </c>
      <c r="C23" s="4">
        <v>60749</v>
      </c>
      <c r="D23" s="4">
        <v>536</v>
      </c>
      <c r="E23" s="4">
        <v>2838</v>
      </c>
      <c r="F23" s="4">
        <v>175335</v>
      </c>
      <c r="G23" s="4">
        <f t="shared" si="7"/>
        <v>332860</v>
      </c>
      <c r="H23" s="4">
        <f t="shared" si="8"/>
        <v>154151</v>
      </c>
      <c r="I23" s="4">
        <f t="shared" si="9"/>
        <v>157525</v>
      </c>
      <c r="J23" s="6">
        <f t="shared" si="10"/>
        <v>2.1418822409141405E-2</v>
      </c>
      <c r="K23" s="6">
        <f t="shared" si="11"/>
        <v>0.52675298924472747</v>
      </c>
    </row>
    <row r="24" spans="1:34" ht="21" customHeight="1">
      <c r="A24" s="2" t="s">
        <v>17</v>
      </c>
      <c r="B24" s="4">
        <v>328483</v>
      </c>
      <c r="C24" s="4">
        <v>344053</v>
      </c>
      <c r="D24" s="4">
        <v>2605</v>
      </c>
      <c r="E24" s="4">
        <v>15453</v>
      </c>
      <c r="F24" s="4">
        <v>467233</v>
      </c>
      <c r="G24" s="4">
        <f t="shared" si="7"/>
        <v>1157827</v>
      </c>
      <c r="H24" s="4">
        <f t="shared" si="8"/>
        <v>672536</v>
      </c>
      <c r="I24" s="4">
        <f t="shared" si="9"/>
        <v>690594</v>
      </c>
      <c r="J24" s="6">
        <f t="shared" si="10"/>
        <v>2.6148504041448375E-2</v>
      </c>
      <c r="K24" s="6">
        <f t="shared" si="11"/>
        <v>0.403543016357366</v>
      </c>
    </row>
    <row r="25" spans="1:34" ht="21" customHeight="1">
      <c r="A25" s="2" t="s">
        <v>18</v>
      </c>
      <c r="B25" s="5">
        <f t="shared" ref="B25:I25" si="12">SUM(B18:B24)</f>
        <v>1033173</v>
      </c>
      <c r="C25" s="5">
        <f t="shared" si="12"/>
        <v>921545</v>
      </c>
      <c r="D25" s="5">
        <f t="shared" si="12"/>
        <v>7723</v>
      </c>
      <c r="E25" s="5">
        <f t="shared" si="12"/>
        <v>43508</v>
      </c>
      <c r="F25" s="5">
        <f t="shared" si="12"/>
        <v>1485134</v>
      </c>
      <c r="G25" s="5">
        <f t="shared" si="12"/>
        <v>3491083</v>
      </c>
      <c r="H25" s="5">
        <f t="shared" si="12"/>
        <v>1954718</v>
      </c>
      <c r="I25" s="5">
        <f t="shared" si="12"/>
        <v>2005949</v>
      </c>
      <c r="J25" s="7">
        <f t="shared" si="10"/>
        <v>2.5539532660102525E-2</v>
      </c>
      <c r="K25" s="7">
        <f t="shared" si="11"/>
        <v>0.42540781757408802</v>
      </c>
    </row>
    <row r="26" spans="1:34" ht="21" customHeight="1">
      <c r="A26" s="2" t="s">
        <v>19</v>
      </c>
      <c r="B26" s="7">
        <f>B25/$H$25</f>
        <v>0.52855347932540653</v>
      </c>
      <c r="C26" s="7">
        <f>C25/$H$25</f>
        <v>0.47144652067459347</v>
      </c>
      <c r="D26" s="1"/>
      <c r="E26" s="1"/>
      <c r="F26" s="1"/>
      <c r="G26" s="1"/>
      <c r="H26" s="1"/>
      <c r="I26" s="1"/>
      <c r="J26" s="1"/>
      <c r="K26" s="1"/>
    </row>
    <row r="28" spans="1:34" ht="18" customHeight="1">
      <c r="A28" s="9" t="s">
        <v>99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spans="1:34" ht="18" customHeight="1">
      <c r="A29" s="9" t="s">
        <v>83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</sheetData>
  <mergeCells count="3">
    <mergeCell ref="A5:AH5"/>
    <mergeCell ref="A28:AH28"/>
    <mergeCell ref="A29:AH2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5:AC18"/>
  <sheetViews>
    <sheetView workbookViewId="0"/>
  </sheetViews>
  <sheetFormatPr baseColWidth="10" defaultColWidth="8.83203125" defaultRowHeight="14"/>
  <cols>
    <col min="1" max="1" width="27" customWidth="1"/>
    <col min="2" max="2" width="70" customWidth="1"/>
    <col min="3" max="3" width="86" customWidth="1"/>
    <col min="4" max="4" width="114" customWidth="1"/>
    <col min="5" max="5" width="62" customWidth="1"/>
    <col min="6" max="6" width="102" customWidth="1"/>
    <col min="7" max="7" width="70" customWidth="1"/>
    <col min="8" max="8" width="34" customWidth="1"/>
    <col min="9" max="9" width="66" customWidth="1"/>
    <col min="10" max="10" width="86" customWidth="1"/>
    <col min="11" max="11" width="118" customWidth="1"/>
    <col min="12" max="12" width="74" customWidth="1"/>
    <col min="13" max="13" width="118" customWidth="1"/>
    <col min="14" max="14" width="90" customWidth="1"/>
    <col min="15" max="15" width="102" customWidth="1"/>
    <col min="16" max="16" width="126" customWidth="1"/>
    <col min="17" max="17" width="134" customWidth="1"/>
    <col min="18" max="18" width="82" customWidth="1"/>
    <col min="19" max="19" width="90" customWidth="1"/>
    <col min="20" max="20" width="114" customWidth="1"/>
    <col min="21" max="21" width="94" customWidth="1"/>
    <col min="22" max="27" width="20" customWidth="1"/>
    <col min="28" max="29" width="22" customWidth="1"/>
  </cols>
  <sheetData>
    <row r="5" spans="1:29" ht="28" customHeight="1">
      <c r="A5" s="8">
        <v>2026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ht="28" customHeight="1">
      <c r="A6" s="2" t="s">
        <v>0</v>
      </c>
      <c r="B6" s="3" t="s">
        <v>100</v>
      </c>
      <c r="C6" s="3" t="s">
        <v>1</v>
      </c>
      <c r="D6" s="3" t="s">
        <v>101</v>
      </c>
      <c r="E6" s="3" t="s">
        <v>74</v>
      </c>
      <c r="F6" s="3" t="s">
        <v>43</v>
      </c>
      <c r="G6" s="3" t="s">
        <v>88</v>
      </c>
      <c r="H6" s="3" t="s">
        <v>102</v>
      </c>
      <c r="I6" s="3" t="s">
        <v>92</v>
      </c>
      <c r="J6" s="3" t="s">
        <v>89</v>
      </c>
      <c r="K6" s="3" t="s">
        <v>87</v>
      </c>
      <c r="L6" s="3" t="s">
        <v>79</v>
      </c>
      <c r="M6" s="3" t="s">
        <v>103</v>
      </c>
      <c r="N6" s="3" t="s">
        <v>53</v>
      </c>
      <c r="O6" s="3" t="s">
        <v>104</v>
      </c>
      <c r="P6" s="3" t="s">
        <v>93</v>
      </c>
      <c r="Q6" s="3" t="s">
        <v>95</v>
      </c>
      <c r="R6" s="3" t="s">
        <v>105</v>
      </c>
      <c r="S6" s="3" t="s">
        <v>106</v>
      </c>
      <c r="T6" s="3" t="s">
        <v>107</v>
      </c>
      <c r="U6" s="3" t="s">
        <v>108</v>
      </c>
      <c r="V6" s="3" t="s">
        <v>3</v>
      </c>
      <c r="W6" s="3" t="s">
        <v>4</v>
      </c>
      <c r="X6" s="3" t="s">
        <v>5</v>
      </c>
      <c r="Y6" s="3" t="s">
        <v>6</v>
      </c>
      <c r="Z6" s="3" t="s">
        <v>7</v>
      </c>
      <c r="AA6" s="3" t="s">
        <v>8</v>
      </c>
      <c r="AB6" s="3" t="s">
        <v>9</v>
      </c>
      <c r="AC6" s="3" t="s">
        <v>10</v>
      </c>
    </row>
    <row r="7" spans="1:29" ht="21" customHeight="1">
      <c r="A7" s="2" t="s">
        <v>11</v>
      </c>
      <c r="B7" s="4">
        <v>282949</v>
      </c>
      <c r="C7" s="4">
        <v>157386</v>
      </c>
      <c r="D7" s="4">
        <v>17960</v>
      </c>
      <c r="E7" s="4">
        <v>16620</v>
      </c>
      <c r="F7" s="4">
        <v>12701</v>
      </c>
      <c r="G7" s="4">
        <v>10322</v>
      </c>
      <c r="H7" s="4">
        <v>8666</v>
      </c>
      <c r="I7" s="4">
        <v>3417</v>
      </c>
      <c r="J7" s="4">
        <v>1398</v>
      </c>
      <c r="K7" s="4">
        <v>1199</v>
      </c>
      <c r="L7" s="4">
        <v>981</v>
      </c>
      <c r="M7" s="4">
        <v>882</v>
      </c>
      <c r="N7" s="4">
        <v>669</v>
      </c>
      <c r="O7" s="4">
        <v>456</v>
      </c>
      <c r="P7" s="4">
        <v>324</v>
      </c>
      <c r="Q7" s="4">
        <v>322</v>
      </c>
      <c r="R7" s="4">
        <v>397</v>
      </c>
      <c r="S7" s="4">
        <v>212</v>
      </c>
      <c r="T7" s="4">
        <v>215</v>
      </c>
      <c r="U7" s="4">
        <v>242</v>
      </c>
      <c r="V7" s="4">
        <v>1703</v>
      </c>
      <c r="W7" s="4">
        <v>2442</v>
      </c>
      <c r="X7" s="4">
        <v>201967</v>
      </c>
      <c r="Y7" s="4">
        <f t="shared" ref="Y7:Y13" si="0">AA7+X7</f>
        <v>723430</v>
      </c>
      <c r="Z7" s="4">
        <f t="shared" ref="Z7:Z13" si="1">SUM(B7:U7)</f>
        <v>517318</v>
      </c>
      <c r="AA7" s="4">
        <f t="shared" ref="AA7:AA13" si="2">Z7+V7+W7</f>
        <v>521463</v>
      </c>
      <c r="AB7" s="6">
        <f t="shared" ref="AB7:AB14" si="3">(V7+W7)/AA7</f>
        <v>7.9487902305628595E-3</v>
      </c>
      <c r="AC7" s="6">
        <f t="shared" ref="AC7:AC14" si="4">X7/Y7</f>
        <v>0.27917974095627773</v>
      </c>
    </row>
    <row r="8" spans="1:29" ht="21" customHeight="1">
      <c r="A8" s="2" t="s">
        <v>12</v>
      </c>
      <c r="B8" s="4">
        <v>122434</v>
      </c>
      <c r="C8" s="4">
        <v>132070</v>
      </c>
      <c r="D8" s="4">
        <v>23132</v>
      </c>
      <c r="E8" s="4">
        <v>12890</v>
      </c>
      <c r="F8" s="4">
        <v>9177</v>
      </c>
      <c r="G8" s="4">
        <v>5098</v>
      </c>
      <c r="H8" s="4">
        <v>6099</v>
      </c>
      <c r="I8" s="4">
        <v>3926</v>
      </c>
      <c r="J8" s="4">
        <v>1257</v>
      </c>
      <c r="K8" s="4">
        <v>804</v>
      </c>
      <c r="L8" s="4">
        <v>527</v>
      </c>
      <c r="M8" s="4">
        <v>713</v>
      </c>
      <c r="N8" s="4">
        <v>607</v>
      </c>
      <c r="O8" s="4">
        <v>384</v>
      </c>
      <c r="P8" s="4">
        <v>293</v>
      </c>
      <c r="Q8" s="4">
        <v>220</v>
      </c>
      <c r="R8" s="4">
        <v>225</v>
      </c>
      <c r="S8" s="4">
        <v>147</v>
      </c>
      <c r="T8" s="4">
        <v>184</v>
      </c>
      <c r="U8" s="4">
        <v>181</v>
      </c>
      <c r="V8" s="4">
        <v>1205</v>
      </c>
      <c r="W8" s="4">
        <v>1626</v>
      </c>
      <c r="X8" s="4">
        <v>105626</v>
      </c>
      <c r="Y8" s="4">
        <f t="shared" si="0"/>
        <v>428825</v>
      </c>
      <c r="Z8" s="4">
        <f t="shared" si="1"/>
        <v>320368</v>
      </c>
      <c r="AA8" s="4">
        <f t="shared" si="2"/>
        <v>323199</v>
      </c>
      <c r="AB8" s="6">
        <f t="shared" si="3"/>
        <v>8.7593092800410891E-3</v>
      </c>
      <c r="AC8" s="6">
        <f t="shared" si="4"/>
        <v>0.24631493033288637</v>
      </c>
    </row>
    <row r="9" spans="1:29" ht="21" customHeight="1">
      <c r="A9" s="2" t="s">
        <v>13</v>
      </c>
      <c r="B9" s="4">
        <v>100739</v>
      </c>
      <c r="C9" s="4">
        <v>47449</v>
      </c>
      <c r="D9" s="4">
        <v>5478</v>
      </c>
      <c r="E9" s="4">
        <v>4242</v>
      </c>
      <c r="F9" s="4">
        <v>3978</v>
      </c>
      <c r="G9" s="4">
        <v>4517</v>
      </c>
      <c r="H9" s="4">
        <v>3766</v>
      </c>
      <c r="I9" s="4">
        <v>1238</v>
      </c>
      <c r="J9" s="4">
        <v>418</v>
      </c>
      <c r="K9" s="4">
        <v>715</v>
      </c>
      <c r="L9" s="4">
        <v>521</v>
      </c>
      <c r="M9" s="4">
        <v>485</v>
      </c>
      <c r="N9" s="4">
        <v>259</v>
      </c>
      <c r="O9" s="4">
        <v>125</v>
      </c>
      <c r="P9" s="4">
        <v>119</v>
      </c>
      <c r="Q9" s="4">
        <v>171</v>
      </c>
      <c r="R9" s="4">
        <v>97</v>
      </c>
      <c r="S9" s="4">
        <v>93</v>
      </c>
      <c r="T9" s="4">
        <v>102</v>
      </c>
      <c r="U9" s="4">
        <v>100</v>
      </c>
      <c r="V9" s="4">
        <v>914</v>
      </c>
      <c r="W9" s="4">
        <v>1274</v>
      </c>
      <c r="X9" s="4">
        <v>101788</v>
      </c>
      <c r="Y9" s="4">
        <f t="shared" si="0"/>
        <v>278588</v>
      </c>
      <c r="Z9" s="4">
        <f t="shared" si="1"/>
        <v>174612</v>
      </c>
      <c r="AA9" s="4">
        <f t="shared" si="2"/>
        <v>176800</v>
      </c>
      <c r="AB9" s="6">
        <f t="shared" si="3"/>
        <v>1.2375565610859729E-2</v>
      </c>
      <c r="AC9" s="6">
        <f t="shared" si="4"/>
        <v>0.36537108561747095</v>
      </c>
    </row>
    <row r="10" spans="1:29" ht="21" customHeight="1">
      <c r="A10" s="2" t="s">
        <v>14</v>
      </c>
      <c r="B10" s="4">
        <v>120209</v>
      </c>
      <c r="C10" s="4">
        <v>109283</v>
      </c>
      <c r="D10" s="4">
        <v>17562</v>
      </c>
      <c r="E10" s="4">
        <v>12964</v>
      </c>
      <c r="F10" s="4">
        <v>7375</v>
      </c>
      <c r="G10" s="4">
        <v>5059</v>
      </c>
      <c r="H10" s="4">
        <v>5594</v>
      </c>
      <c r="I10" s="4">
        <v>2204</v>
      </c>
      <c r="J10" s="4">
        <v>1119</v>
      </c>
      <c r="K10" s="4">
        <v>475</v>
      </c>
      <c r="L10" s="4">
        <v>468</v>
      </c>
      <c r="M10" s="4">
        <v>366</v>
      </c>
      <c r="N10" s="4">
        <v>381</v>
      </c>
      <c r="O10" s="4">
        <v>271</v>
      </c>
      <c r="P10" s="4">
        <v>220</v>
      </c>
      <c r="Q10" s="4">
        <v>134</v>
      </c>
      <c r="R10" s="4">
        <v>182</v>
      </c>
      <c r="S10" s="4">
        <v>242</v>
      </c>
      <c r="T10" s="4">
        <v>184</v>
      </c>
      <c r="U10" s="4">
        <v>141</v>
      </c>
      <c r="V10" s="4">
        <v>611</v>
      </c>
      <c r="W10" s="4">
        <v>1065</v>
      </c>
      <c r="X10" s="4">
        <v>91682</v>
      </c>
      <c r="Y10" s="4">
        <f t="shared" si="0"/>
        <v>377791</v>
      </c>
      <c r="Z10" s="4">
        <f t="shared" si="1"/>
        <v>284433</v>
      </c>
      <c r="AA10" s="4">
        <f t="shared" si="2"/>
        <v>286109</v>
      </c>
      <c r="AB10" s="6">
        <f t="shared" si="3"/>
        <v>5.8579073010635811E-3</v>
      </c>
      <c r="AC10" s="6">
        <f t="shared" si="4"/>
        <v>0.24267915328845843</v>
      </c>
    </row>
    <row r="11" spans="1:29" ht="21" customHeight="1">
      <c r="A11" s="2" t="s">
        <v>15</v>
      </c>
      <c r="B11" s="4">
        <v>120435</v>
      </c>
      <c r="C11" s="4">
        <v>34865</v>
      </c>
      <c r="D11" s="4">
        <v>4420</v>
      </c>
      <c r="E11" s="4">
        <v>4960</v>
      </c>
      <c r="F11" s="4">
        <v>5255</v>
      </c>
      <c r="G11" s="4">
        <v>6877</v>
      </c>
      <c r="H11" s="4">
        <v>2137</v>
      </c>
      <c r="I11" s="4">
        <v>1881</v>
      </c>
      <c r="J11" s="4">
        <v>552</v>
      </c>
      <c r="K11" s="4">
        <v>920</v>
      </c>
      <c r="L11" s="4">
        <v>498</v>
      </c>
      <c r="M11" s="4">
        <v>808</v>
      </c>
      <c r="N11" s="4">
        <v>285</v>
      </c>
      <c r="O11" s="4">
        <v>169</v>
      </c>
      <c r="P11" s="4">
        <v>446</v>
      </c>
      <c r="Q11" s="4">
        <v>207</v>
      </c>
      <c r="R11" s="4">
        <v>180</v>
      </c>
      <c r="S11" s="4">
        <v>155</v>
      </c>
      <c r="T11" s="4">
        <v>178</v>
      </c>
      <c r="U11" s="4">
        <v>141</v>
      </c>
      <c r="V11" s="4">
        <v>1362</v>
      </c>
      <c r="W11" s="4">
        <v>1734</v>
      </c>
      <c r="X11" s="4">
        <v>125313</v>
      </c>
      <c r="Y11" s="4">
        <f t="shared" si="0"/>
        <v>313778</v>
      </c>
      <c r="Z11" s="4">
        <f t="shared" si="1"/>
        <v>185369</v>
      </c>
      <c r="AA11" s="4">
        <f t="shared" si="2"/>
        <v>188465</v>
      </c>
      <c r="AB11" s="6">
        <f t="shared" si="3"/>
        <v>1.6427453373305388E-2</v>
      </c>
      <c r="AC11" s="6">
        <f t="shared" si="4"/>
        <v>0.39936834322355297</v>
      </c>
    </row>
    <row r="12" spans="1:29" ht="21" customHeight="1">
      <c r="A12" s="2" t="s">
        <v>16</v>
      </c>
      <c r="B12" s="4">
        <v>134195</v>
      </c>
      <c r="C12" s="4">
        <v>45555</v>
      </c>
      <c r="D12" s="4">
        <v>4687</v>
      </c>
      <c r="E12" s="4">
        <v>5519</v>
      </c>
      <c r="F12" s="4">
        <v>4873</v>
      </c>
      <c r="G12" s="4">
        <v>6378</v>
      </c>
      <c r="H12" s="4">
        <v>2347</v>
      </c>
      <c r="I12" s="4">
        <v>1444</v>
      </c>
      <c r="J12" s="4">
        <v>476</v>
      </c>
      <c r="K12" s="4">
        <v>818</v>
      </c>
      <c r="L12" s="4">
        <v>861</v>
      </c>
      <c r="M12" s="4">
        <v>698</v>
      </c>
      <c r="N12" s="4">
        <v>327</v>
      </c>
      <c r="O12" s="4">
        <v>167</v>
      </c>
      <c r="P12" s="4">
        <v>170</v>
      </c>
      <c r="Q12" s="4">
        <v>187</v>
      </c>
      <c r="R12" s="4">
        <v>140</v>
      </c>
      <c r="S12" s="4">
        <v>113</v>
      </c>
      <c r="T12" s="4">
        <v>128</v>
      </c>
      <c r="U12" s="4">
        <v>138</v>
      </c>
      <c r="V12" s="4">
        <v>1056</v>
      </c>
      <c r="W12" s="4">
        <v>1447</v>
      </c>
      <c r="X12" s="4">
        <v>139282</v>
      </c>
      <c r="Y12" s="4">
        <f t="shared" si="0"/>
        <v>351006</v>
      </c>
      <c r="Z12" s="4">
        <f t="shared" si="1"/>
        <v>209221</v>
      </c>
      <c r="AA12" s="4">
        <f t="shared" si="2"/>
        <v>211724</v>
      </c>
      <c r="AB12" s="6">
        <f t="shared" si="3"/>
        <v>1.1821994672309233E-2</v>
      </c>
      <c r="AC12" s="6">
        <f t="shared" si="4"/>
        <v>0.39680803177153667</v>
      </c>
    </row>
    <row r="13" spans="1:29" ht="21" customHeight="1">
      <c r="A13" s="2" t="s">
        <v>17</v>
      </c>
      <c r="B13" s="4">
        <v>358420</v>
      </c>
      <c r="C13" s="4">
        <v>330374</v>
      </c>
      <c r="D13" s="4">
        <v>50678</v>
      </c>
      <c r="E13" s="4">
        <v>38047</v>
      </c>
      <c r="F13" s="4">
        <v>24453</v>
      </c>
      <c r="G13" s="4">
        <v>17811</v>
      </c>
      <c r="H13" s="4">
        <v>17075</v>
      </c>
      <c r="I13" s="4">
        <v>7304</v>
      </c>
      <c r="J13" s="4">
        <v>3362</v>
      </c>
      <c r="K13" s="4">
        <v>1589</v>
      </c>
      <c r="L13" s="4">
        <v>1648</v>
      </c>
      <c r="M13" s="4">
        <v>1440</v>
      </c>
      <c r="N13" s="4">
        <v>1335</v>
      </c>
      <c r="O13" s="4">
        <v>868</v>
      </c>
      <c r="P13" s="4">
        <v>603</v>
      </c>
      <c r="Q13" s="4">
        <v>668</v>
      </c>
      <c r="R13" s="4">
        <v>599</v>
      </c>
      <c r="S13" s="4">
        <v>452</v>
      </c>
      <c r="T13" s="4">
        <v>373</v>
      </c>
      <c r="U13" s="4">
        <v>387</v>
      </c>
      <c r="V13" s="4">
        <v>2160</v>
      </c>
      <c r="W13" s="4">
        <v>3184</v>
      </c>
      <c r="X13" s="4">
        <v>328270</v>
      </c>
      <c r="Y13" s="4">
        <f t="shared" si="0"/>
        <v>1191100</v>
      </c>
      <c r="Z13" s="4">
        <f t="shared" si="1"/>
        <v>857486</v>
      </c>
      <c r="AA13" s="4">
        <f t="shared" si="2"/>
        <v>862830</v>
      </c>
      <c r="AB13" s="6">
        <f t="shared" si="3"/>
        <v>6.1935723143608824E-3</v>
      </c>
      <c r="AC13" s="6">
        <f t="shared" si="4"/>
        <v>0.2756023843506003</v>
      </c>
    </row>
    <row r="14" spans="1:29" ht="21" customHeight="1">
      <c r="A14" s="2" t="s">
        <v>18</v>
      </c>
      <c r="B14" s="5">
        <f t="shared" ref="B14:AA14" si="5">SUM(B7:B13)</f>
        <v>1239381</v>
      </c>
      <c r="C14" s="5">
        <f t="shared" si="5"/>
        <v>856982</v>
      </c>
      <c r="D14" s="5">
        <f t="shared" si="5"/>
        <v>123917</v>
      </c>
      <c r="E14" s="5">
        <f t="shared" si="5"/>
        <v>95242</v>
      </c>
      <c r="F14" s="5">
        <f t="shared" si="5"/>
        <v>67812</v>
      </c>
      <c r="G14" s="5">
        <f t="shared" si="5"/>
        <v>56062</v>
      </c>
      <c r="H14" s="5">
        <f t="shared" si="5"/>
        <v>45684</v>
      </c>
      <c r="I14" s="5">
        <f t="shared" si="5"/>
        <v>21414</v>
      </c>
      <c r="J14" s="5">
        <f t="shared" si="5"/>
        <v>8582</v>
      </c>
      <c r="K14" s="5">
        <f t="shared" si="5"/>
        <v>6520</v>
      </c>
      <c r="L14" s="5">
        <f t="shared" si="5"/>
        <v>5504</v>
      </c>
      <c r="M14" s="5">
        <f t="shared" si="5"/>
        <v>5392</v>
      </c>
      <c r="N14" s="5">
        <f t="shared" si="5"/>
        <v>3863</v>
      </c>
      <c r="O14" s="5">
        <f t="shared" si="5"/>
        <v>2440</v>
      </c>
      <c r="P14" s="5">
        <f t="shared" si="5"/>
        <v>2175</v>
      </c>
      <c r="Q14" s="5">
        <f t="shared" si="5"/>
        <v>1909</v>
      </c>
      <c r="R14" s="5">
        <f t="shared" si="5"/>
        <v>1820</v>
      </c>
      <c r="S14" s="5">
        <f t="shared" si="5"/>
        <v>1414</v>
      </c>
      <c r="T14" s="5">
        <f t="shared" si="5"/>
        <v>1364</v>
      </c>
      <c r="U14" s="5">
        <f t="shared" si="5"/>
        <v>1330</v>
      </c>
      <c r="V14" s="5">
        <f t="shared" si="5"/>
        <v>9011</v>
      </c>
      <c r="W14" s="5">
        <f t="shared" si="5"/>
        <v>12772</v>
      </c>
      <c r="X14" s="5">
        <f t="shared" si="5"/>
        <v>1093928</v>
      </c>
      <c r="Y14" s="5">
        <f t="shared" si="5"/>
        <v>3664518</v>
      </c>
      <c r="Z14" s="5">
        <f t="shared" si="5"/>
        <v>2548807</v>
      </c>
      <c r="AA14" s="5">
        <f t="shared" si="5"/>
        <v>2570590</v>
      </c>
      <c r="AB14" s="7">
        <f t="shared" si="3"/>
        <v>8.4739301094301309E-3</v>
      </c>
      <c r="AC14" s="7">
        <f t="shared" si="4"/>
        <v>0.29851893209420721</v>
      </c>
    </row>
    <row r="15" spans="1:29" ht="21" customHeight="1">
      <c r="A15" s="2" t="s">
        <v>19</v>
      </c>
      <c r="B15" s="7">
        <f t="shared" ref="B15:U15" si="6">B14/$Z$14</f>
        <v>0.48625925776255324</v>
      </c>
      <c r="C15" s="7">
        <f t="shared" si="6"/>
        <v>0.33622867482708579</v>
      </c>
      <c r="D15" s="7">
        <f t="shared" si="6"/>
        <v>4.8617647393466829E-2</v>
      </c>
      <c r="E15" s="7">
        <f t="shared" si="6"/>
        <v>3.7367285949858109E-2</v>
      </c>
      <c r="F15" s="7">
        <f t="shared" si="6"/>
        <v>2.6605388324812355E-2</v>
      </c>
      <c r="G15" s="7">
        <f t="shared" si="6"/>
        <v>2.1995388430744264E-2</v>
      </c>
      <c r="H15" s="7">
        <f t="shared" si="6"/>
        <v>1.7923679588136725E-2</v>
      </c>
      <c r="I15" s="7">
        <f t="shared" si="6"/>
        <v>8.4015776792828959E-3</v>
      </c>
      <c r="J15" s="7">
        <f t="shared" si="6"/>
        <v>3.3670654545440277E-3</v>
      </c>
      <c r="K15" s="7">
        <f t="shared" si="6"/>
        <v>2.5580595156871428E-3</v>
      </c>
      <c r="L15" s="7">
        <f t="shared" si="6"/>
        <v>2.1594416525064471E-3</v>
      </c>
      <c r="M15" s="7">
        <f t="shared" si="6"/>
        <v>2.1154995258566068E-3</v>
      </c>
      <c r="N15" s="7">
        <f t="shared" si="6"/>
        <v>1.5156110290029806E-3</v>
      </c>
      <c r="O15" s="7">
        <f t="shared" si="6"/>
        <v>9.5731061630009652E-4</v>
      </c>
      <c r="P15" s="7">
        <f t="shared" si="6"/>
        <v>8.533404059232417E-4</v>
      </c>
      <c r="Q15" s="7">
        <f t="shared" si="6"/>
        <v>7.4897785512987051E-4</v>
      </c>
      <c r="R15" s="7">
        <f t="shared" si="6"/>
        <v>7.1405955805990803E-4</v>
      </c>
      <c r="S15" s="7">
        <f t="shared" si="6"/>
        <v>5.5476934895423626E-4</v>
      </c>
      <c r="T15" s="7">
        <f t="shared" si="6"/>
        <v>5.3515232812841463E-4</v>
      </c>
      <c r="U15" s="7">
        <f t="shared" si="6"/>
        <v>5.2181275396685582E-4</v>
      </c>
      <c r="V15" s="1"/>
      <c r="W15" s="1"/>
      <c r="X15" s="1"/>
      <c r="Y15" s="1"/>
      <c r="Z15" s="1"/>
      <c r="AA15" s="1"/>
      <c r="AB15" s="1"/>
      <c r="AC15" s="1"/>
    </row>
    <row r="17" spans="1:29" ht="18" customHeight="1">
      <c r="A17" s="9" t="s">
        <v>109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1:29" ht="18" customHeight="1">
      <c r="A18" s="9" t="s">
        <v>83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</sheetData>
  <mergeCells count="3">
    <mergeCell ref="A5:AC5"/>
    <mergeCell ref="A17:AC17"/>
    <mergeCell ref="A18:A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1953</vt:lpstr>
      <vt:lpstr>1958</vt:lpstr>
      <vt:lpstr>1962</vt:lpstr>
      <vt:lpstr>1966</vt:lpstr>
      <vt:lpstr>1970</vt:lpstr>
      <vt:lpstr>1974</vt:lpstr>
      <vt:lpstr>1978</vt:lpstr>
      <vt:lpstr>1982</vt:lpstr>
      <vt:lpstr>1986</vt:lpstr>
      <vt:lpstr>1990</vt:lpstr>
      <vt:lpstr>1994</vt:lpstr>
      <vt:lpstr>1998</vt:lpstr>
      <vt:lpstr>2002</vt:lpstr>
      <vt:lpstr>2006</vt:lpstr>
      <vt:lpstr>2010</vt:lpstr>
      <vt:lpstr>2014</vt:lpstr>
      <vt:lpstr>2018</vt:lpstr>
      <vt:lpstr>2022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Juani Fallas</cp:lastModifiedBy>
  <dcterms:created xsi:type="dcterms:W3CDTF">2026-08-12T07:36:23Z</dcterms:created>
  <dcterms:modified xsi:type="dcterms:W3CDTF">2026-08-14T01:47:51Z</dcterms:modified>
</cp:coreProperties>
</file>