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uani/TSE/Bases De Datos/"/>
    </mc:Choice>
  </mc:AlternateContent>
  <xr:revisionPtr revIDLastSave="0" documentId="8_{54EA5D8E-7632-7E4A-8CE6-13138C679347}" xr6:coauthVersionLast="47" xr6:coauthVersionMax="47" xr10:uidLastSave="{00000000-0000-0000-0000-000000000000}"/>
  <bookViews>
    <workbookView xWindow="32960" yWindow="1620" windowWidth="29400" windowHeight="16660" firstSheet="3" activeTab="18" xr2:uid="{00000000-000D-0000-FFFF-FFFF00000000}"/>
  </bookViews>
  <sheets>
    <sheet name="1953" sheetId="1" r:id="rId1"/>
    <sheet name="1958" sheetId="4" r:id="rId2"/>
    <sheet name="1962" sheetId="5" r:id="rId3"/>
    <sheet name="1966" sheetId="6" r:id="rId4"/>
    <sheet name="1970" sheetId="7" r:id="rId5"/>
    <sheet name="1974" sheetId="9" r:id="rId6"/>
    <sheet name="1978" sheetId="10" r:id="rId7"/>
    <sheet name="1982" sheetId="12" r:id="rId8"/>
    <sheet name="1986" sheetId="13" r:id="rId9"/>
    <sheet name="1990" sheetId="14" r:id="rId10"/>
    <sheet name="1994" sheetId="15" r:id="rId11"/>
    <sheet name="1998" sheetId="16" r:id="rId12"/>
    <sheet name="2002" sheetId="17" r:id="rId13"/>
    <sheet name="2006" sheetId="18" r:id="rId14"/>
    <sheet name="2010" sheetId="19" r:id="rId15"/>
    <sheet name="2014" sheetId="20" r:id="rId16"/>
    <sheet name="2018" sheetId="21" r:id="rId17"/>
    <sheet name="2022" sheetId="22" r:id="rId18"/>
    <sheet name="2026" sheetId="23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23" l="1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B25" i="23"/>
  <c r="Z24" i="23"/>
  <c r="Z23" i="23"/>
  <c r="Z22" i="23"/>
  <c r="Z21" i="23"/>
  <c r="Z20" i="23"/>
  <c r="Z19" i="23"/>
  <c r="Z18" i="23"/>
  <c r="Z25" i="23" s="1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B14" i="23"/>
  <c r="AE13" i="23"/>
  <c r="AD13" i="23"/>
  <c r="AC13" i="23"/>
  <c r="AG13" i="23" s="1"/>
  <c r="AE12" i="23"/>
  <c r="AD12" i="23"/>
  <c r="AC12" i="23"/>
  <c r="AG12" i="23" s="1"/>
  <c r="AE11" i="23"/>
  <c r="AD11" i="23"/>
  <c r="AC11" i="23"/>
  <c r="AG11" i="23" s="1"/>
  <c r="AE10" i="23"/>
  <c r="AD10" i="23"/>
  <c r="AC10" i="23"/>
  <c r="AG10" i="23" s="1"/>
  <c r="AE9" i="23"/>
  <c r="AD9" i="23"/>
  <c r="AC9" i="23"/>
  <c r="AG9" i="23" s="1"/>
  <c r="AE8" i="23"/>
  <c r="AD8" i="23"/>
  <c r="AC8" i="23"/>
  <c r="AG8" i="23" s="1"/>
  <c r="AE7" i="23"/>
  <c r="AD7" i="23"/>
  <c r="AC7" i="23"/>
  <c r="AG7" i="23" s="1"/>
  <c r="AK25" i="22"/>
  <c r="AJ25" i="22"/>
  <c r="AI25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B25" i="22"/>
  <c r="AL24" i="22"/>
  <c r="AL23" i="22"/>
  <c r="AL22" i="22"/>
  <c r="AL21" i="22"/>
  <c r="AL20" i="22"/>
  <c r="AL19" i="22"/>
  <c r="AL18" i="22"/>
  <c r="AL25" i="22" s="1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AN14" i="22"/>
  <c r="AM14" i="22"/>
  <c r="AL14" i="22"/>
  <c r="AK14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B14" i="22"/>
  <c r="AQ13" i="22"/>
  <c r="AP13" i="22"/>
  <c r="AO13" i="22"/>
  <c r="AS13" i="22" s="1"/>
  <c r="AQ12" i="22"/>
  <c r="AP12" i="22"/>
  <c r="AO12" i="22"/>
  <c r="AS12" i="22" s="1"/>
  <c r="AQ11" i="22"/>
  <c r="AP11" i="22"/>
  <c r="AO11" i="22"/>
  <c r="AS11" i="22" s="1"/>
  <c r="AQ10" i="22"/>
  <c r="AP10" i="22"/>
  <c r="AO10" i="22"/>
  <c r="AS10" i="22" s="1"/>
  <c r="AQ9" i="22"/>
  <c r="AP9" i="22"/>
  <c r="AO9" i="22"/>
  <c r="AS9" i="22" s="1"/>
  <c r="AQ8" i="22"/>
  <c r="AP8" i="22"/>
  <c r="AO8" i="22"/>
  <c r="AS8" i="22" s="1"/>
  <c r="AQ7" i="22"/>
  <c r="AP7" i="22"/>
  <c r="AO7" i="22"/>
  <c r="AS7" i="22" s="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C24" i="21"/>
  <c r="AC23" i="21"/>
  <c r="AC22" i="21"/>
  <c r="AC21" i="21"/>
  <c r="AC20" i="21"/>
  <c r="AC19" i="21"/>
  <c r="AC18" i="21"/>
  <c r="AC25" i="21" s="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H13" i="21"/>
  <c r="AG13" i="21"/>
  <c r="AF13" i="21"/>
  <c r="AJ13" i="21" s="1"/>
  <c r="AH12" i="21"/>
  <c r="AG12" i="21"/>
  <c r="AF12" i="21"/>
  <c r="AJ12" i="21" s="1"/>
  <c r="AH11" i="21"/>
  <c r="AG11" i="21"/>
  <c r="AF11" i="21"/>
  <c r="AJ11" i="21" s="1"/>
  <c r="AH10" i="21"/>
  <c r="AG10" i="21"/>
  <c r="AF10" i="21"/>
  <c r="AJ10" i="21" s="1"/>
  <c r="AH9" i="21"/>
  <c r="AG9" i="21"/>
  <c r="AF9" i="21"/>
  <c r="AJ9" i="21" s="1"/>
  <c r="AH8" i="21"/>
  <c r="AG8" i="21"/>
  <c r="AF8" i="21"/>
  <c r="AJ8" i="21" s="1"/>
  <c r="AH7" i="21"/>
  <c r="AG7" i="21"/>
  <c r="AF7" i="21"/>
  <c r="AJ7" i="21" s="1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V24" i="20"/>
  <c r="V23" i="20"/>
  <c r="V22" i="20"/>
  <c r="V21" i="20"/>
  <c r="V20" i="20"/>
  <c r="V19" i="20"/>
  <c r="V18" i="20"/>
  <c r="V25" i="20" s="1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AA13" i="20"/>
  <c r="Z13" i="20"/>
  <c r="Y13" i="20"/>
  <c r="AC13" i="20" s="1"/>
  <c r="AA12" i="20"/>
  <c r="Z12" i="20"/>
  <c r="Y12" i="20"/>
  <c r="AC12" i="20" s="1"/>
  <c r="AA11" i="20"/>
  <c r="Z11" i="20"/>
  <c r="Y11" i="20"/>
  <c r="AC11" i="20" s="1"/>
  <c r="AA10" i="20"/>
  <c r="Z10" i="20"/>
  <c r="Y10" i="20"/>
  <c r="AC10" i="20" s="1"/>
  <c r="AA9" i="20"/>
  <c r="Z9" i="20"/>
  <c r="Y9" i="20"/>
  <c r="AC9" i="20" s="1"/>
  <c r="AA8" i="20"/>
  <c r="Z8" i="20"/>
  <c r="Y8" i="20"/>
  <c r="AC8" i="20" s="1"/>
  <c r="AA7" i="20"/>
  <c r="Z7" i="20"/>
  <c r="Y7" i="20"/>
  <c r="AC7" i="20" s="1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25" i="19"/>
  <c r="T24" i="19"/>
  <c r="T23" i="19"/>
  <c r="T22" i="19"/>
  <c r="T21" i="19"/>
  <c r="T20" i="19"/>
  <c r="T19" i="19"/>
  <c r="T18" i="19"/>
  <c r="T25" i="19" s="1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14" i="19"/>
  <c r="Y13" i="19"/>
  <c r="X13" i="19"/>
  <c r="W13" i="19"/>
  <c r="AA13" i="19" s="1"/>
  <c r="Y12" i="19"/>
  <c r="X12" i="19"/>
  <c r="W12" i="19"/>
  <c r="AA12" i="19" s="1"/>
  <c r="Y11" i="19"/>
  <c r="X11" i="19"/>
  <c r="W11" i="19"/>
  <c r="AA11" i="19" s="1"/>
  <c r="Y10" i="19"/>
  <c r="X10" i="19"/>
  <c r="W10" i="19"/>
  <c r="AA10" i="19" s="1"/>
  <c r="Y9" i="19"/>
  <c r="X9" i="19"/>
  <c r="W9" i="19"/>
  <c r="AA9" i="19" s="1"/>
  <c r="Y8" i="19"/>
  <c r="X8" i="19"/>
  <c r="W8" i="19"/>
  <c r="AA8" i="19" s="1"/>
  <c r="Y7" i="19"/>
  <c r="X7" i="19"/>
  <c r="W7" i="19"/>
  <c r="AA7" i="19" s="1"/>
  <c r="AB25" i="18"/>
  <c r="AA25" i="18"/>
  <c r="Z25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AC24" i="18"/>
  <c r="AC23" i="18"/>
  <c r="AC22" i="18"/>
  <c r="AC21" i="18"/>
  <c r="AC20" i="18"/>
  <c r="AC19" i="18"/>
  <c r="AC18" i="18"/>
  <c r="AC25" i="18" s="1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AH13" i="18"/>
  <c r="AG13" i="18"/>
  <c r="AF13" i="18"/>
  <c r="AJ13" i="18" s="1"/>
  <c r="AH12" i="18"/>
  <c r="AG12" i="18"/>
  <c r="AF12" i="18"/>
  <c r="AJ12" i="18" s="1"/>
  <c r="AH11" i="18"/>
  <c r="AG11" i="18"/>
  <c r="AF11" i="18"/>
  <c r="AJ11" i="18" s="1"/>
  <c r="AH10" i="18"/>
  <c r="AG10" i="18"/>
  <c r="AF10" i="18"/>
  <c r="AJ10" i="18" s="1"/>
  <c r="AH9" i="18"/>
  <c r="AG9" i="18"/>
  <c r="AF9" i="18"/>
  <c r="AJ9" i="18" s="1"/>
  <c r="AH8" i="18"/>
  <c r="AG8" i="18"/>
  <c r="AF8" i="18"/>
  <c r="AJ8" i="18" s="1"/>
  <c r="AH7" i="18"/>
  <c r="AG7" i="18"/>
  <c r="AF7" i="18"/>
  <c r="AJ7" i="18" s="1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T24" i="17"/>
  <c r="T23" i="17"/>
  <c r="T22" i="17"/>
  <c r="T21" i="17"/>
  <c r="T20" i="17"/>
  <c r="T19" i="17"/>
  <c r="T18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Y13" i="17"/>
  <c r="X13" i="17"/>
  <c r="W13" i="17"/>
  <c r="AA13" i="17" s="1"/>
  <c r="Y12" i="17"/>
  <c r="X12" i="17"/>
  <c r="W12" i="17"/>
  <c r="AA12" i="17" s="1"/>
  <c r="Y11" i="17"/>
  <c r="X11" i="17"/>
  <c r="W11" i="17"/>
  <c r="AA11" i="17" s="1"/>
  <c r="Y10" i="17"/>
  <c r="X10" i="17"/>
  <c r="W10" i="17"/>
  <c r="AA10" i="17" s="1"/>
  <c r="Y9" i="17"/>
  <c r="X9" i="17"/>
  <c r="W9" i="17"/>
  <c r="AA9" i="17" s="1"/>
  <c r="Y8" i="17"/>
  <c r="X8" i="17"/>
  <c r="W8" i="17"/>
  <c r="AA8" i="17" s="1"/>
  <c r="Y7" i="17"/>
  <c r="X7" i="17"/>
  <c r="W7" i="17"/>
  <c r="AA7" i="17" s="1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Y24" i="16"/>
  <c r="Y23" i="16"/>
  <c r="Y22" i="16"/>
  <c r="Y21" i="16"/>
  <c r="Y20" i="16"/>
  <c r="Y19" i="16"/>
  <c r="Y18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D13" i="16"/>
  <c r="AC13" i="16"/>
  <c r="AB13" i="16"/>
  <c r="AF13" i="16" s="1"/>
  <c r="AD12" i="16"/>
  <c r="AC12" i="16"/>
  <c r="AB12" i="16"/>
  <c r="AF12" i="16" s="1"/>
  <c r="AD11" i="16"/>
  <c r="AC11" i="16"/>
  <c r="AB11" i="16"/>
  <c r="AF11" i="16" s="1"/>
  <c r="AD10" i="16"/>
  <c r="AC10" i="16"/>
  <c r="AB10" i="16"/>
  <c r="AF10" i="16" s="1"/>
  <c r="AD9" i="16"/>
  <c r="AC9" i="16"/>
  <c r="AB9" i="16"/>
  <c r="AF9" i="16" s="1"/>
  <c r="AD8" i="16"/>
  <c r="AC8" i="16"/>
  <c r="AB8" i="16"/>
  <c r="AF8" i="16" s="1"/>
  <c r="AD7" i="16"/>
  <c r="AC7" i="16"/>
  <c r="AB7" i="16"/>
  <c r="AF7" i="16" s="1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Q24" i="15"/>
  <c r="Q23" i="15"/>
  <c r="Q22" i="15"/>
  <c r="Q21" i="15"/>
  <c r="Q20" i="15"/>
  <c r="Q19" i="15"/>
  <c r="Q18" i="15"/>
  <c r="Q25" i="15" s="1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V13" i="15"/>
  <c r="U13" i="15"/>
  <c r="T13" i="15"/>
  <c r="X13" i="15" s="1"/>
  <c r="V12" i="15"/>
  <c r="U12" i="15"/>
  <c r="T12" i="15"/>
  <c r="X12" i="15" s="1"/>
  <c r="V11" i="15"/>
  <c r="U11" i="15"/>
  <c r="T11" i="15"/>
  <c r="X11" i="15" s="1"/>
  <c r="V10" i="15"/>
  <c r="U10" i="15"/>
  <c r="T10" i="15"/>
  <c r="X10" i="15" s="1"/>
  <c r="V9" i="15"/>
  <c r="U9" i="15"/>
  <c r="T9" i="15"/>
  <c r="X9" i="15" s="1"/>
  <c r="V8" i="15"/>
  <c r="U8" i="15"/>
  <c r="T8" i="15"/>
  <c r="X8" i="15" s="1"/>
  <c r="V7" i="15"/>
  <c r="U7" i="15"/>
  <c r="T7" i="15"/>
  <c r="X7" i="15" s="1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P24" i="14"/>
  <c r="P23" i="14"/>
  <c r="P22" i="14"/>
  <c r="P21" i="14"/>
  <c r="P20" i="14"/>
  <c r="P19" i="14"/>
  <c r="P18" i="14"/>
  <c r="P25" i="14" s="1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U13" i="14"/>
  <c r="T13" i="14"/>
  <c r="S13" i="14"/>
  <c r="W13" i="14" s="1"/>
  <c r="U12" i="14"/>
  <c r="T12" i="14"/>
  <c r="S12" i="14"/>
  <c r="W12" i="14" s="1"/>
  <c r="U11" i="14"/>
  <c r="T11" i="14"/>
  <c r="S11" i="14"/>
  <c r="W11" i="14" s="1"/>
  <c r="U10" i="14"/>
  <c r="T10" i="14"/>
  <c r="S10" i="14"/>
  <c r="W10" i="14" s="1"/>
  <c r="U9" i="14"/>
  <c r="T9" i="14"/>
  <c r="S9" i="14"/>
  <c r="W9" i="14" s="1"/>
  <c r="U8" i="14"/>
  <c r="T8" i="14"/>
  <c r="S8" i="14"/>
  <c r="W8" i="14" s="1"/>
  <c r="U7" i="14"/>
  <c r="T7" i="14"/>
  <c r="S7" i="14"/>
  <c r="W7" i="14" s="1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O24" i="13"/>
  <c r="O23" i="13"/>
  <c r="O22" i="13"/>
  <c r="O21" i="13"/>
  <c r="O20" i="13"/>
  <c r="O19" i="13"/>
  <c r="O18" i="13"/>
  <c r="O25" i="13" s="1"/>
  <c r="N17" i="13"/>
  <c r="M17" i="13"/>
  <c r="L17" i="13"/>
  <c r="K17" i="13"/>
  <c r="J17" i="13"/>
  <c r="I17" i="13"/>
  <c r="H17" i="13"/>
  <c r="G17" i="13"/>
  <c r="F17" i="13"/>
  <c r="E17" i="13"/>
  <c r="D17" i="13"/>
  <c r="B17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T13" i="13"/>
  <c r="S13" i="13"/>
  <c r="R13" i="13"/>
  <c r="V13" i="13" s="1"/>
  <c r="T12" i="13"/>
  <c r="S12" i="13"/>
  <c r="R12" i="13"/>
  <c r="V12" i="13" s="1"/>
  <c r="T11" i="13"/>
  <c r="S11" i="13"/>
  <c r="R11" i="13"/>
  <c r="V11" i="13" s="1"/>
  <c r="T10" i="13"/>
  <c r="S10" i="13"/>
  <c r="R10" i="13"/>
  <c r="V10" i="13" s="1"/>
  <c r="T9" i="13"/>
  <c r="S9" i="13"/>
  <c r="R9" i="13"/>
  <c r="V9" i="13" s="1"/>
  <c r="T8" i="13"/>
  <c r="S8" i="13"/>
  <c r="R8" i="13"/>
  <c r="V8" i="13" s="1"/>
  <c r="T7" i="13"/>
  <c r="S7" i="13"/>
  <c r="R7" i="13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B25" i="12"/>
  <c r="R24" i="12"/>
  <c r="R23" i="12"/>
  <c r="R22" i="12"/>
  <c r="R21" i="12"/>
  <c r="R20" i="12"/>
  <c r="R19" i="12"/>
  <c r="R18" i="12"/>
  <c r="R25" i="12" s="1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W13" i="12"/>
  <c r="V13" i="12"/>
  <c r="U13" i="12"/>
  <c r="Y13" i="12" s="1"/>
  <c r="W12" i="12"/>
  <c r="V12" i="12"/>
  <c r="U12" i="12"/>
  <c r="Y12" i="12" s="1"/>
  <c r="W11" i="12"/>
  <c r="V11" i="12"/>
  <c r="U11" i="12"/>
  <c r="Y11" i="12" s="1"/>
  <c r="W10" i="12"/>
  <c r="V10" i="12"/>
  <c r="U10" i="12"/>
  <c r="Y10" i="12" s="1"/>
  <c r="W9" i="12"/>
  <c r="V9" i="12"/>
  <c r="U9" i="12"/>
  <c r="Y9" i="12" s="1"/>
  <c r="W8" i="12"/>
  <c r="V8" i="12"/>
  <c r="U8" i="12"/>
  <c r="Y8" i="12" s="1"/>
  <c r="W7" i="12"/>
  <c r="V7" i="12"/>
  <c r="U7" i="12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Q24" i="10"/>
  <c r="Q23" i="10"/>
  <c r="Q22" i="10"/>
  <c r="Q21" i="10"/>
  <c r="Q20" i="10"/>
  <c r="Q19" i="10"/>
  <c r="Q18" i="10"/>
  <c r="Q25" i="10" s="1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V13" i="10"/>
  <c r="U13" i="10"/>
  <c r="T13" i="10"/>
  <c r="X13" i="10" s="1"/>
  <c r="V12" i="10"/>
  <c r="U12" i="10"/>
  <c r="T12" i="10"/>
  <c r="X12" i="10" s="1"/>
  <c r="V11" i="10"/>
  <c r="U11" i="10"/>
  <c r="T11" i="10"/>
  <c r="X11" i="10" s="1"/>
  <c r="V10" i="10"/>
  <c r="U10" i="10"/>
  <c r="T10" i="10"/>
  <c r="X10" i="10" s="1"/>
  <c r="V9" i="10"/>
  <c r="U9" i="10"/>
  <c r="T9" i="10"/>
  <c r="X9" i="10" s="1"/>
  <c r="V8" i="10"/>
  <c r="U8" i="10"/>
  <c r="T8" i="10"/>
  <c r="X8" i="10" s="1"/>
  <c r="V7" i="10"/>
  <c r="U7" i="10"/>
  <c r="U14" i="10" s="1"/>
  <c r="T7" i="10"/>
  <c r="M25" i="9"/>
  <c r="L25" i="9"/>
  <c r="K25" i="9"/>
  <c r="J25" i="9"/>
  <c r="I25" i="9"/>
  <c r="H25" i="9"/>
  <c r="G25" i="9"/>
  <c r="F25" i="9"/>
  <c r="E25" i="9"/>
  <c r="D25" i="9"/>
  <c r="C25" i="9"/>
  <c r="B25" i="9"/>
  <c r="N24" i="9"/>
  <c r="N23" i="9"/>
  <c r="N22" i="9"/>
  <c r="N21" i="9"/>
  <c r="N20" i="9"/>
  <c r="N19" i="9"/>
  <c r="N18" i="9"/>
  <c r="N25" i="9" s="1"/>
  <c r="M17" i="9"/>
  <c r="L17" i="9"/>
  <c r="K17" i="9"/>
  <c r="J17" i="9"/>
  <c r="I17" i="9"/>
  <c r="H17" i="9"/>
  <c r="G17" i="9"/>
  <c r="F17" i="9"/>
  <c r="E17" i="9"/>
  <c r="D17" i="9"/>
  <c r="C17" i="9"/>
  <c r="B17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S13" i="9"/>
  <c r="R13" i="9"/>
  <c r="Q13" i="9"/>
  <c r="U13" i="9" s="1"/>
  <c r="S12" i="9"/>
  <c r="R12" i="9"/>
  <c r="Q12" i="9"/>
  <c r="U12" i="9" s="1"/>
  <c r="S11" i="9"/>
  <c r="R11" i="9"/>
  <c r="Q11" i="9"/>
  <c r="U11" i="9" s="1"/>
  <c r="S10" i="9"/>
  <c r="R10" i="9"/>
  <c r="Q10" i="9"/>
  <c r="U10" i="9" s="1"/>
  <c r="S9" i="9"/>
  <c r="R9" i="9"/>
  <c r="Q9" i="9"/>
  <c r="U9" i="9" s="1"/>
  <c r="S8" i="9"/>
  <c r="R8" i="9"/>
  <c r="Q8" i="9"/>
  <c r="U8" i="9" s="1"/>
  <c r="S7" i="9"/>
  <c r="R7" i="9"/>
  <c r="R14" i="9" s="1"/>
  <c r="Q7" i="9"/>
  <c r="J25" i="7"/>
  <c r="G25" i="7"/>
  <c r="D25" i="7"/>
  <c r="C25" i="7"/>
  <c r="B25" i="7"/>
  <c r="K24" i="7"/>
  <c r="K23" i="7"/>
  <c r="K22" i="7"/>
  <c r="K21" i="7"/>
  <c r="K20" i="7"/>
  <c r="K19" i="7"/>
  <c r="K18" i="7"/>
  <c r="K25" i="7" s="1"/>
  <c r="J17" i="7"/>
  <c r="I17" i="7"/>
  <c r="H17" i="7"/>
  <c r="G17" i="7"/>
  <c r="F17" i="7"/>
  <c r="E17" i="7"/>
  <c r="D17" i="7"/>
  <c r="C17" i="7"/>
  <c r="B17" i="7"/>
  <c r="M14" i="7"/>
  <c r="L14" i="7"/>
  <c r="K14" i="7"/>
  <c r="J14" i="7"/>
  <c r="I14" i="7"/>
  <c r="H14" i="7"/>
  <c r="G14" i="7"/>
  <c r="F14" i="7"/>
  <c r="E14" i="7"/>
  <c r="D14" i="7"/>
  <c r="C14" i="7"/>
  <c r="B14" i="7"/>
  <c r="P13" i="7"/>
  <c r="O13" i="7"/>
  <c r="N13" i="7"/>
  <c r="R13" i="7" s="1"/>
  <c r="P12" i="7"/>
  <c r="O12" i="7"/>
  <c r="N12" i="7"/>
  <c r="R12" i="7" s="1"/>
  <c r="P11" i="7"/>
  <c r="O11" i="7"/>
  <c r="Q11" i="7" s="1"/>
  <c r="N11" i="7"/>
  <c r="R11" i="7" s="1"/>
  <c r="P10" i="7"/>
  <c r="O10" i="7"/>
  <c r="N10" i="7"/>
  <c r="R10" i="7" s="1"/>
  <c r="P9" i="7"/>
  <c r="O9" i="7"/>
  <c r="N9" i="7"/>
  <c r="R9" i="7" s="1"/>
  <c r="P8" i="7"/>
  <c r="O8" i="7"/>
  <c r="N8" i="7"/>
  <c r="R8" i="7" s="1"/>
  <c r="P7" i="7"/>
  <c r="O7" i="7"/>
  <c r="O14" i="7" s="1"/>
  <c r="N7" i="7"/>
  <c r="F25" i="6"/>
  <c r="E25" i="6"/>
  <c r="D25" i="6"/>
  <c r="C25" i="6"/>
  <c r="B25" i="6"/>
  <c r="G24" i="6"/>
  <c r="G23" i="6"/>
  <c r="G22" i="6"/>
  <c r="G21" i="6"/>
  <c r="G20" i="6"/>
  <c r="G19" i="6"/>
  <c r="G18" i="6"/>
  <c r="F17" i="6"/>
  <c r="E17" i="6"/>
  <c r="D17" i="6"/>
  <c r="C17" i="6"/>
  <c r="B17" i="6"/>
  <c r="I14" i="6"/>
  <c r="H14" i="6"/>
  <c r="G14" i="6"/>
  <c r="F14" i="6"/>
  <c r="E14" i="6"/>
  <c r="D14" i="6"/>
  <c r="C14" i="6"/>
  <c r="B14" i="6"/>
  <c r="L13" i="6"/>
  <c r="K13" i="6"/>
  <c r="J13" i="6"/>
  <c r="L12" i="6"/>
  <c r="K12" i="6"/>
  <c r="J12" i="6"/>
  <c r="N12" i="6" s="1"/>
  <c r="L11" i="6"/>
  <c r="K11" i="6"/>
  <c r="J11" i="6"/>
  <c r="N11" i="6" s="1"/>
  <c r="L10" i="6"/>
  <c r="K10" i="6"/>
  <c r="J10" i="6"/>
  <c r="N10" i="6" s="1"/>
  <c r="L9" i="6"/>
  <c r="K9" i="6"/>
  <c r="J9" i="6"/>
  <c r="N9" i="6" s="1"/>
  <c r="L8" i="6"/>
  <c r="K8" i="6"/>
  <c r="J8" i="6"/>
  <c r="N8" i="6" s="1"/>
  <c r="L7" i="6"/>
  <c r="K7" i="6"/>
  <c r="J7" i="6"/>
  <c r="N7" i="6" s="1"/>
  <c r="J25" i="5"/>
  <c r="I25" i="5"/>
  <c r="H25" i="5"/>
  <c r="G25" i="5"/>
  <c r="F25" i="5"/>
  <c r="E25" i="5"/>
  <c r="D25" i="5"/>
  <c r="C25" i="5"/>
  <c r="B25" i="5"/>
  <c r="K24" i="5"/>
  <c r="K23" i="5"/>
  <c r="K22" i="5"/>
  <c r="K21" i="5"/>
  <c r="K20" i="5"/>
  <c r="K19" i="5"/>
  <c r="K18" i="5"/>
  <c r="J17" i="5"/>
  <c r="I17" i="5"/>
  <c r="H17" i="5"/>
  <c r="G17" i="5"/>
  <c r="F17" i="5"/>
  <c r="E17" i="5"/>
  <c r="D17" i="5"/>
  <c r="C17" i="5"/>
  <c r="B17" i="5"/>
  <c r="M14" i="5"/>
  <c r="L14" i="5"/>
  <c r="K14" i="5"/>
  <c r="J14" i="5"/>
  <c r="I14" i="5"/>
  <c r="H14" i="5"/>
  <c r="G14" i="5"/>
  <c r="F14" i="5"/>
  <c r="E14" i="5"/>
  <c r="D14" i="5"/>
  <c r="C14" i="5"/>
  <c r="B14" i="5"/>
  <c r="P13" i="5"/>
  <c r="O13" i="5"/>
  <c r="N13" i="5"/>
  <c r="R13" i="5" s="1"/>
  <c r="P12" i="5"/>
  <c r="O12" i="5"/>
  <c r="N12" i="5"/>
  <c r="R12" i="5" s="1"/>
  <c r="P11" i="5"/>
  <c r="O11" i="5"/>
  <c r="N11" i="5"/>
  <c r="R11" i="5" s="1"/>
  <c r="P10" i="5"/>
  <c r="O10" i="5"/>
  <c r="N10" i="5"/>
  <c r="R10" i="5" s="1"/>
  <c r="P9" i="5"/>
  <c r="O9" i="5"/>
  <c r="N9" i="5"/>
  <c r="R9" i="5" s="1"/>
  <c r="P8" i="5"/>
  <c r="O8" i="5"/>
  <c r="N8" i="5"/>
  <c r="R8" i="5" s="1"/>
  <c r="P7" i="5"/>
  <c r="O7" i="5"/>
  <c r="N7" i="5"/>
  <c r="I25" i="4"/>
  <c r="H25" i="4"/>
  <c r="G25" i="4"/>
  <c r="F25" i="4"/>
  <c r="E25" i="4"/>
  <c r="D25" i="4"/>
  <c r="C25" i="4"/>
  <c r="B25" i="4"/>
  <c r="J24" i="4"/>
  <c r="J23" i="4"/>
  <c r="J22" i="4"/>
  <c r="J21" i="4"/>
  <c r="J20" i="4"/>
  <c r="J19" i="4"/>
  <c r="J18" i="4"/>
  <c r="J25" i="4" s="1"/>
  <c r="I17" i="4"/>
  <c r="H17" i="4"/>
  <c r="G17" i="4"/>
  <c r="F17" i="4"/>
  <c r="E17" i="4"/>
  <c r="D17" i="4"/>
  <c r="C17" i="4"/>
  <c r="B17" i="4"/>
  <c r="L14" i="4"/>
  <c r="K14" i="4"/>
  <c r="J14" i="4"/>
  <c r="I14" i="4"/>
  <c r="H14" i="4"/>
  <c r="G14" i="4"/>
  <c r="F14" i="4"/>
  <c r="E14" i="4"/>
  <c r="D14" i="4"/>
  <c r="C14" i="4"/>
  <c r="B14" i="4"/>
  <c r="O13" i="4"/>
  <c r="N13" i="4"/>
  <c r="M13" i="4"/>
  <c r="Q13" i="4" s="1"/>
  <c r="O12" i="4"/>
  <c r="N12" i="4"/>
  <c r="M12" i="4"/>
  <c r="Q12" i="4" s="1"/>
  <c r="O11" i="4"/>
  <c r="N11" i="4"/>
  <c r="M11" i="4"/>
  <c r="Q11" i="4" s="1"/>
  <c r="O10" i="4"/>
  <c r="N10" i="4"/>
  <c r="M10" i="4"/>
  <c r="Q10" i="4" s="1"/>
  <c r="O9" i="4"/>
  <c r="N9" i="4"/>
  <c r="M9" i="4"/>
  <c r="Q9" i="4" s="1"/>
  <c r="O8" i="4"/>
  <c r="N8" i="4"/>
  <c r="M8" i="4"/>
  <c r="Q8" i="4" s="1"/>
  <c r="O7" i="4"/>
  <c r="N7" i="4"/>
  <c r="M7" i="4"/>
  <c r="E25" i="1"/>
  <c r="D25" i="1"/>
  <c r="C25" i="1"/>
  <c r="B25" i="1"/>
  <c r="F24" i="1"/>
  <c r="F23" i="1"/>
  <c r="F22" i="1"/>
  <c r="F21" i="1"/>
  <c r="F20" i="1"/>
  <c r="F19" i="1"/>
  <c r="F18" i="1"/>
  <c r="F25" i="1" s="1"/>
  <c r="H14" i="1"/>
  <c r="G14" i="1"/>
  <c r="F14" i="1"/>
  <c r="E14" i="1"/>
  <c r="D14" i="1"/>
  <c r="C14" i="1"/>
  <c r="B14" i="1"/>
  <c r="K13" i="1"/>
  <c r="J13" i="1"/>
  <c r="I13" i="1"/>
  <c r="M13" i="1" s="1"/>
  <c r="K12" i="1"/>
  <c r="J12" i="1"/>
  <c r="I12" i="1"/>
  <c r="M12" i="1" s="1"/>
  <c r="K11" i="1"/>
  <c r="J11" i="1"/>
  <c r="I11" i="1"/>
  <c r="M11" i="1" s="1"/>
  <c r="K10" i="1"/>
  <c r="J10" i="1"/>
  <c r="I10" i="1"/>
  <c r="M10" i="1" s="1"/>
  <c r="K9" i="1"/>
  <c r="J9" i="1"/>
  <c r="I9" i="1"/>
  <c r="M9" i="1" s="1"/>
  <c r="K8" i="1"/>
  <c r="J8" i="1"/>
  <c r="I8" i="1"/>
  <c r="M8" i="1" s="1"/>
  <c r="K7" i="1"/>
  <c r="J7" i="1"/>
  <c r="I7" i="1"/>
  <c r="K25" i="5" l="1"/>
  <c r="S14" i="13"/>
  <c r="U13" i="13"/>
  <c r="U12" i="13"/>
  <c r="U9" i="13"/>
  <c r="V14" i="12"/>
  <c r="O14" i="5"/>
  <c r="U10" i="13"/>
  <c r="X9" i="12"/>
  <c r="W10" i="10"/>
  <c r="X11" i="12"/>
  <c r="T25" i="17"/>
  <c r="X13" i="12"/>
  <c r="W9" i="10"/>
  <c r="Y25" i="16"/>
  <c r="X8" i="12"/>
  <c r="V10" i="14"/>
  <c r="V9" i="14"/>
  <c r="V8" i="14"/>
  <c r="W13" i="10"/>
  <c r="T13" i="9"/>
  <c r="T11" i="9"/>
  <c r="T8" i="9"/>
  <c r="Q13" i="7"/>
  <c r="Q9" i="7"/>
  <c r="Q8" i="7"/>
  <c r="M9" i="6"/>
  <c r="M7" i="6"/>
  <c r="Q13" i="5"/>
  <c r="Q11" i="5"/>
  <c r="Q9" i="5"/>
  <c r="Q8" i="5"/>
  <c r="P12" i="4"/>
  <c r="P11" i="4"/>
  <c r="P10" i="4"/>
  <c r="P9" i="4"/>
  <c r="P8" i="4"/>
  <c r="J14" i="1"/>
  <c r="AF13" i="23"/>
  <c r="AF12" i="23"/>
  <c r="AF11" i="23"/>
  <c r="AF10" i="23"/>
  <c r="AF9" i="23"/>
  <c r="AF8" i="23"/>
  <c r="AF7" i="23"/>
  <c r="AR13" i="22"/>
  <c r="AR12" i="22"/>
  <c r="AR11" i="22"/>
  <c r="AR10" i="22"/>
  <c r="AR9" i="22"/>
  <c r="AR8" i="22"/>
  <c r="AR7" i="22"/>
  <c r="U8" i="13"/>
  <c r="X12" i="12"/>
  <c r="M10" i="6"/>
  <c r="Q12" i="5"/>
  <c r="Q10" i="5"/>
  <c r="AI13" i="21"/>
  <c r="AI12" i="21"/>
  <c r="AI11" i="21"/>
  <c r="AI10" i="21"/>
  <c r="AI9" i="21"/>
  <c r="AI8" i="21"/>
  <c r="AI7" i="21"/>
  <c r="AB13" i="20"/>
  <c r="AB12" i="20"/>
  <c r="AB11" i="20"/>
  <c r="AB10" i="20"/>
  <c r="AB9" i="20"/>
  <c r="AB8" i="20"/>
  <c r="AB7" i="20"/>
  <c r="Z13" i="19"/>
  <c r="Z12" i="19"/>
  <c r="Z11" i="19"/>
  <c r="Z10" i="19"/>
  <c r="Z9" i="19"/>
  <c r="Z8" i="19"/>
  <c r="Z7" i="19"/>
  <c r="AI13" i="18"/>
  <c r="V13" i="14"/>
  <c r="V12" i="14"/>
  <c r="V11" i="14"/>
  <c r="V7" i="14"/>
  <c r="U11" i="13"/>
  <c r="T10" i="9"/>
  <c r="T9" i="9"/>
  <c r="G25" i="6"/>
  <c r="M13" i="6"/>
  <c r="AI12" i="18"/>
  <c r="AI11" i="18"/>
  <c r="AI10" i="18"/>
  <c r="AI9" i="18"/>
  <c r="AI8" i="18"/>
  <c r="AI7" i="18"/>
  <c r="Z13" i="17"/>
  <c r="Z12" i="17"/>
  <c r="Z11" i="17"/>
  <c r="Z10" i="17"/>
  <c r="Z9" i="17"/>
  <c r="Z8" i="17"/>
  <c r="Z7" i="17"/>
  <c r="AE13" i="16"/>
  <c r="AE12" i="16"/>
  <c r="AE11" i="16"/>
  <c r="AE10" i="16"/>
  <c r="AE9" i="16"/>
  <c r="AE8" i="16"/>
  <c r="AE7" i="16"/>
  <c r="W13" i="15"/>
  <c r="W12" i="15"/>
  <c r="W11" i="15"/>
  <c r="W10" i="15"/>
  <c r="W9" i="15"/>
  <c r="W8" i="15"/>
  <c r="W7" i="15"/>
  <c r="X10" i="12"/>
  <c r="W12" i="10"/>
  <c r="W11" i="10"/>
  <c r="W8" i="10"/>
  <c r="T12" i="9"/>
  <c r="Q12" i="7"/>
  <c r="Q10" i="7"/>
  <c r="K14" i="6"/>
  <c r="M11" i="6"/>
  <c r="M8" i="6"/>
  <c r="P13" i="4"/>
  <c r="N14" i="4"/>
  <c r="L13" i="1"/>
  <c r="L12" i="1"/>
  <c r="L11" i="1"/>
  <c r="L10" i="1"/>
  <c r="L9" i="1"/>
  <c r="L8" i="1"/>
  <c r="AE14" i="23"/>
  <c r="AD14" i="23"/>
  <c r="B15" i="23" s="1"/>
  <c r="AC14" i="23"/>
  <c r="AG14" i="23" s="1"/>
  <c r="AQ14" i="22"/>
  <c r="AP14" i="22"/>
  <c r="B15" i="22" s="1"/>
  <c r="AO14" i="22"/>
  <c r="AS14" i="22" s="1"/>
  <c r="AG14" i="21"/>
  <c r="B15" i="21" s="1"/>
  <c r="AH14" i="21"/>
  <c r="AI14" i="21" s="1"/>
  <c r="AF14" i="21"/>
  <c r="AJ14" i="21" s="1"/>
  <c r="Z14" i="20"/>
  <c r="B15" i="20" s="1"/>
  <c r="Y14" i="20"/>
  <c r="AC14" i="20" s="1"/>
  <c r="AA14" i="20"/>
  <c r="W14" i="19"/>
  <c r="AA14" i="19" s="1"/>
  <c r="X14" i="19"/>
  <c r="B15" i="19" s="1"/>
  <c r="Y14" i="19"/>
  <c r="AG14" i="18"/>
  <c r="B15" i="18"/>
  <c r="AH14" i="18"/>
  <c r="AI14" i="18" s="1"/>
  <c r="AF14" i="18"/>
  <c r="AJ14" i="18" s="1"/>
  <c r="Y14" i="17"/>
  <c r="X14" i="17"/>
  <c r="B15" i="17" s="1"/>
  <c r="W14" i="17"/>
  <c r="AA14" i="17" s="1"/>
  <c r="AB14" i="16"/>
  <c r="AF14" i="16" s="1"/>
  <c r="AC14" i="16"/>
  <c r="B15" i="16" s="1"/>
  <c r="AD14" i="16"/>
  <c r="V14" i="15"/>
  <c r="T14" i="15"/>
  <c r="X14" i="15" s="1"/>
  <c r="U14" i="15"/>
  <c r="B15" i="15" s="1"/>
  <c r="T14" i="14"/>
  <c r="B15" i="14" s="1"/>
  <c r="U14" i="14"/>
  <c r="S14" i="14"/>
  <c r="W14" i="14" s="1"/>
  <c r="U7" i="13"/>
  <c r="T14" i="13"/>
  <c r="V7" i="13"/>
  <c r="R14" i="13"/>
  <c r="V14" i="13" s="1"/>
  <c r="X7" i="12"/>
  <c r="W14" i="12"/>
  <c r="Y7" i="12"/>
  <c r="U14" i="12"/>
  <c r="Y14" i="12" s="1"/>
  <c r="V14" i="10"/>
  <c r="W14" i="10" s="1"/>
  <c r="W7" i="10"/>
  <c r="T14" i="10"/>
  <c r="X14" i="10" s="1"/>
  <c r="X7" i="10"/>
  <c r="T7" i="9"/>
  <c r="S14" i="9"/>
  <c r="T14" i="9" s="1"/>
  <c r="Q14" i="9"/>
  <c r="U14" i="9" s="1"/>
  <c r="U7" i="9"/>
  <c r="P14" i="7"/>
  <c r="Q14" i="7" s="1"/>
  <c r="Q7" i="7"/>
  <c r="R7" i="7"/>
  <c r="N14" i="7"/>
  <c r="R14" i="7" s="1"/>
  <c r="J14" i="6"/>
  <c r="N14" i="6" s="1"/>
  <c r="N13" i="6"/>
  <c r="L14" i="6"/>
  <c r="M12" i="6"/>
  <c r="P14" i="5"/>
  <c r="Q7" i="5"/>
  <c r="R7" i="5"/>
  <c r="N14" i="5"/>
  <c r="R14" i="5" s="1"/>
  <c r="O14" i="4"/>
  <c r="P7" i="4"/>
  <c r="M14" i="4"/>
  <c r="Q14" i="4" s="1"/>
  <c r="Q7" i="4"/>
  <c r="L7" i="1"/>
  <c r="K14" i="1"/>
  <c r="M7" i="1"/>
  <c r="I14" i="1"/>
  <c r="M14" i="1" s="1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M15" i="9"/>
  <c r="L15" i="9"/>
  <c r="K15" i="9"/>
  <c r="J15" i="9"/>
  <c r="I15" i="9"/>
  <c r="H15" i="9"/>
  <c r="G15" i="9"/>
  <c r="F15" i="9"/>
  <c r="E15" i="9"/>
  <c r="D15" i="9"/>
  <c r="C15" i="9"/>
  <c r="B15" i="9"/>
  <c r="J15" i="7"/>
  <c r="I15" i="7"/>
  <c r="H15" i="7"/>
  <c r="G15" i="7"/>
  <c r="F15" i="7"/>
  <c r="E15" i="7"/>
  <c r="D15" i="7"/>
  <c r="C15" i="7"/>
  <c r="B15" i="7"/>
  <c r="Q15" i="12" l="1"/>
  <c r="N15" i="12"/>
  <c r="K15" i="12"/>
  <c r="J15" i="12"/>
  <c r="H15" i="12"/>
  <c r="E15" i="12"/>
  <c r="G15" i="12"/>
  <c r="B15" i="12"/>
  <c r="O15" i="12"/>
  <c r="M15" i="12"/>
  <c r="Q14" i="5"/>
  <c r="C15" i="12"/>
  <c r="P15" i="12"/>
  <c r="L15" i="12"/>
  <c r="I15" i="12"/>
  <c r="J15" i="5"/>
  <c r="I15" i="5"/>
  <c r="H15" i="5"/>
  <c r="G15" i="5"/>
  <c r="F15" i="5"/>
  <c r="E15" i="5"/>
  <c r="D15" i="5"/>
  <c r="C15" i="5"/>
  <c r="B15" i="5"/>
  <c r="U14" i="13"/>
  <c r="X14" i="12"/>
  <c r="M14" i="6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F15" i="12"/>
  <c r="D15" i="12"/>
  <c r="E15" i="1"/>
  <c r="D15" i="1"/>
  <c r="C15" i="1"/>
  <c r="B15" i="1"/>
  <c r="AB14" i="20"/>
  <c r="P14" i="4"/>
  <c r="L14" i="1"/>
  <c r="Z14" i="19"/>
  <c r="AE14" i="16"/>
  <c r="V14" i="14"/>
  <c r="F15" i="6"/>
  <c r="E15" i="6"/>
  <c r="D15" i="6"/>
  <c r="C15" i="6"/>
  <c r="B15" i="6"/>
  <c r="I15" i="4"/>
  <c r="H15" i="4"/>
  <c r="G15" i="4"/>
  <c r="F15" i="4"/>
  <c r="E15" i="4"/>
  <c r="D15" i="4"/>
  <c r="C15" i="4"/>
  <c r="B15" i="4"/>
  <c r="C15" i="23"/>
  <c r="D15" i="23"/>
  <c r="G15" i="23"/>
  <c r="L15" i="23"/>
  <c r="E15" i="23"/>
  <c r="F15" i="23"/>
  <c r="H15" i="23"/>
  <c r="I15" i="23"/>
  <c r="J15" i="23"/>
  <c r="M15" i="23"/>
  <c r="N15" i="23"/>
  <c r="O15" i="23"/>
  <c r="P15" i="23"/>
  <c r="Q15" i="23"/>
  <c r="R15" i="23"/>
  <c r="S15" i="23"/>
  <c r="T15" i="23"/>
  <c r="U15" i="23"/>
  <c r="V15" i="23"/>
  <c r="W15" i="23"/>
  <c r="X15" i="23"/>
  <c r="Y15" i="23"/>
  <c r="K15" i="23"/>
  <c r="C15" i="22"/>
  <c r="D15" i="22"/>
  <c r="F15" i="22"/>
  <c r="H15" i="22"/>
  <c r="I15" i="22"/>
  <c r="J15" i="22"/>
  <c r="L15" i="22"/>
  <c r="M15" i="22"/>
  <c r="N15" i="22"/>
  <c r="W15" i="22"/>
  <c r="AA15" i="22"/>
  <c r="AC15" i="22"/>
  <c r="AD15" i="22"/>
  <c r="AF15" i="22"/>
  <c r="AG15" i="22"/>
  <c r="AH15" i="22"/>
  <c r="AI15" i="22"/>
  <c r="AJ15" i="22"/>
  <c r="AK15" i="22"/>
  <c r="E15" i="22"/>
  <c r="K15" i="22"/>
  <c r="O15" i="22"/>
  <c r="R15" i="22"/>
  <c r="S15" i="22"/>
  <c r="T15" i="22"/>
  <c r="V15" i="22"/>
  <c r="Z15" i="22"/>
  <c r="AB15" i="22"/>
  <c r="G15" i="22"/>
  <c r="P15" i="22"/>
  <c r="Q15" i="22"/>
  <c r="U15" i="22"/>
  <c r="X15" i="22"/>
  <c r="Y15" i="22"/>
  <c r="AE15" i="22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P15" i="20"/>
  <c r="Q15" i="20"/>
  <c r="R15" i="20"/>
  <c r="S15" i="20"/>
  <c r="T15" i="20"/>
  <c r="U15" i="20"/>
  <c r="C15" i="19"/>
  <c r="D15" i="19"/>
  <c r="E15" i="19"/>
  <c r="F15" i="19"/>
  <c r="G15" i="19"/>
  <c r="H15" i="19"/>
  <c r="I15" i="19"/>
  <c r="J15" i="19"/>
  <c r="K15" i="19"/>
  <c r="L15" i="19"/>
  <c r="M15" i="19"/>
  <c r="N15" i="19"/>
  <c r="O15" i="19"/>
  <c r="P15" i="19"/>
  <c r="Q15" i="19"/>
  <c r="R15" i="19"/>
  <c r="S15" i="19"/>
  <c r="M15" i="18"/>
  <c r="P15" i="18"/>
  <c r="U15" i="18"/>
  <c r="C15" i="18"/>
  <c r="E15" i="18"/>
  <c r="D15" i="18"/>
  <c r="F15" i="18"/>
  <c r="L15" i="18"/>
  <c r="N15" i="18"/>
  <c r="Q15" i="18"/>
  <c r="R15" i="18"/>
  <c r="T15" i="18"/>
  <c r="V15" i="18"/>
  <c r="Y15" i="18"/>
  <c r="AA15" i="18"/>
  <c r="AB15" i="18"/>
  <c r="H15" i="18"/>
  <c r="I15" i="18"/>
  <c r="W15" i="18"/>
  <c r="X15" i="18"/>
  <c r="Z15" i="18"/>
  <c r="G15" i="18"/>
  <c r="J15" i="18"/>
  <c r="K15" i="18"/>
  <c r="O15" i="18"/>
  <c r="S15" i="18"/>
  <c r="C15" i="17"/>
  <c r="I15" i="17"/>
  <c r="S15" i="17"/>
  <c r="D15" i="17"/>
  <c r="P15" i="17"/>
  <c r="H15" i="17"/>
  <c r="O15" i="17"/>
  <c r="N15" i="17"/>
  <c r="E15" i="17"/>
  <c r="F15" i="17"/>
  <c r="G15" i="17"/>
  <c r="J15" i="17"/>
  <c r="K15" i="17"/>
  <c r="L15" i="17"/>
  <c r="M15" i="17"/>
  <c r="Q15" i="17"/>
  <c r="R15" i="17"/>
  <c r="F15" i="16"/>
  <c r="H15" i="16"/>
  <c r="I15" i="16"/>
  <c r="J15" i="16"/>
  <c r="K15" i="16"/>
  <c r="Q15" i="16"/>
  <c r="R15" i="16"/>
  <c r="S15" i="16"/>
  <c r="T15" i="16"/>
  <c r="V15" i="16"/>
  <c r="G15" i="16"/>
  <c r="N15" i="16"/>
  <c r="O15" i="16"/>
  <c r="L15" i="16"/>
  <c r="P15" i="16"/>
  <c r="W15" i="16"/>
  <c r="X15" i="16"/>
  <c r="C15" i="16"/>
  <c r="D15" i="16"/>
  <c r="E15" i="16"/>
  <c r="M15" i="16"/>
  <c r="U15" i="16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AF14" i="23"/>
  <c r="AR14" i="22"/>
  <c r="Z14" i="17"/>
  <c r="W14" i="15"/>
</calcChain>
</file>

<file path=xl/sharedStrings.xml><?xml version="1.0" encoding="utf-8"?>
<sst xmlns="http://schemas.openxmlformats.org/spreadsheetml/2006/main" count="883" uniqueCount="187">
  <si>
    <t>VOTOS</t>
  </si>
  <si>
    <t>LIBERACIÓN NACIONAL</t>
  </si>
  <si>
    <t>DEMÓCRATA</t>
  </si>
  <si>
    <t>REPUBLICANO NACIONAL INDEPENDIENTE</t>
  </si>
  <si>
    <t>UNIÓN NACIONAL</t>
  </si>
  <si>
    <t>VOTOS EN BLANCO</t>
  </si>
  <si>
    <t>VOTOS NULOS</t>
  </si>
  <si>
    <t>ABSTENCIONISMO</t>
  </si>
  <si>
    <t>TOTAL PADRÓN</t>
  </si>
  <si>
    <t>TOTAL VÁLIDOS</t>
  </si>
  <si>
    <t>TOTAL VOTOS</t>
  </si>
  <si>
    <t>%NO VÁLIDOS</t>
  </si>
  <si>
    <t>%ABSTENCIONISMO</t>
  </si>
  <si>
    <t>ALAJUELA</t>
  </si>
  <si>
    <t>CARTAGO</t>
  </si>
  <si>
    <t>GUANACASTE</t>
  </si>
  <si>
    <t>HEREDIA</t>
  </si>
  <si>
    <t>LIMÓN</t>
  </si>
  <si>
    <t>PUNTARENAS</t>
  </si>
  <si>
    <t>SAN JOSÉ</t>
  </si>
  <si>
    <t>TOTAL COSTA RICA</t>
  </si>
  <si>
    <t>PORCENTAJE COSTA RICA</t>
  </si>
  <si>
    <t>PORCENTAJE PRESIDENCIAL</t>
  </si>
  <si>
    <t>DIPUTACIONES</t>
  </si>
  <si>
    <t>TOTAL</t>
  </si>
  <si>
    <t>REPUBLICANO</t>
  </si>
  <si>
    <t>INDEPENDIENTE</t>
  </si>
  <si>
    <t>UNIÓN CÍVICO REVOLUCIONARIA</t>
  </si>
  <si>
    <t>MOVIMIENTO DEMOCRÁTICO OPOSICIONISTA</t>
  </si>
  <si>
    <t>DEMÓCRATA AUTÉNTICO</t>
  </si>
  <si>
    <t>REPUBLICANO NACIONAL</t>
  </si>
  <si>
    <t>ACCIÓN DEMOCRÁTICA POPULAR</t>
  </si>
  <si>
    <t>ACCIÓN SOLIDARISTA</t>
  </si>
  <si>
    <t>ALAJUELENSE DEMÓCRATA</t>
  </si>
  <si>
    <t>MOVIMIENTO DEPURACIÓN NACIONAL</t>
  </si>
  <si>
    <t>UNIÓN GUANACASTECA INDEPENDIENTE</t>
  </si>
  <si>
    <t>RENOVACIÓN NACIONAL</t>
  </si>
  <si>
    <t>50.29%</t>
  </si>
  <si>
    <t>35.34%</t>
  </si>
  <si>
    <t>13.49%</t>
  </si>
  <si>
    <t>0.87%</t>
  </si>
  <si>
    <t>UNIFICACIÓN NACIONAL</t>
  </si>
  <si>
    <t>REPUBLICANO GUANACASTECO</t>
  </si>
  <si>
    <t>49.52%</t>
  </si>
  <si>
    <t>ACCIÓN SOCIALISTA</t>
  </si>
  <si>
    <t>FRENTE NACIONAL</t>
  </si>
  <si>
    <t>DEMÓCRATA CRISTIANO</t>
  </si>
  <si>
    <t>MOVIMIENTO RENOVADOR COSTARRICENSE</t>
  </si>
  <si>
    <t>UNIÓN AGRÍCOLA CARTAGINÉS</t>
  </si>
  <si>
    <t>RENOVACIÓN PUNTARENENSE</t>
  </si>
  <si>
    <t>NACIONAL INDEPENDIENTE</t>
  </si>
  <si>
    <t>RENOVACIÓN DEMOCRÁTICA</t>
  </si>
  <si>
    <t>DEMÓCRATA CRiSTIANO</t>
  </si>
  <si>
    <t>SOCIALISTA COSTARRICENSE</t>
  </si>
  <si>
    <t>FRENTE POPULAR COSTARRICENSE</t>
  </si>
  <si>
    <t>COALICIÓN UNIDAD</t>
  </si>
  <si>
    <t>PUEBLO UNIDO COALICIÓN</t>
  </si>
  <si>
    <t>UNIÓN REPUBLICANA</t>
  </si>
  <si>
    <t>ORG SOCIALISTA DE LOS TRABAJADORES</t>
  </si>
  <si>
    <t>AUTÉNTICO LIMONENSE</t>
  </si>
  <si>
    <t>CONCORDIA COSTARRICENSE</t>
  </si>
  <si>
    <t>AUTÉNTICO PUNTARENENSE</t>
  </si>
  <si>
    <t>LABORISTA NACIONAL</t>
  </si>
  <si>
    <t>0</t>
  </si>
  <si>
    <t>MOVIMIENTO NACIONAL</t>
  </si>
  <si>
    <t>ACCIÓN DEMOCRÁTICA ALAJUELENSE</t>
  </si>
  <si>
    <t>NACIONAL DEMOCRÁTICO</t>
  </si>
  <si>
    <t>ACCIÓN DEL PUEBLO</t>
  </si>
  <si>
    <t>UNIÓN PARLAMENTARIA DE CARTAGO</t>
  </si>
  <si>
    <t>OBRERO CAMPESINO</t>
  </si>
  <si>
    <t>LIBERALISMO NACIONAL REPUBLICANO</t>
  </si>
  <si>
    <t>UNIDAD SOCIALCRISTIANA</t>
  </si>
  <si>
    <t>COALICIÓN ALIANZA POPULAR</t>
  </si>
  <si>
    <t>ALIANZA NACIONAL CRISTIANA</t>
  </si>
  <si>
    <t>UNIÓN GENERALEÑA</t>
  </si>
  <si>
    <t xml:space="preserve">ACCIÓN DEMOCRÁTICA ALAJUELENSE </t>
  </si>
  <si>
    <t>ALAJUELENSE SOLIDARIO</t>
  </si>
  <si>
    <t>UNIDAD SOCIAL CRISTIANA</t>
  </si>
  <si>
    <t>DEL PROGRESO</t>
  </si>
  <si>
    <t>ACCIÓN LABORISTA AGRÍCOLA</t>
  </si>
  <si>
    <t>AGRARIO NACIONAL</t>
  </si>
  <si>
    <t>REVOLUCIONARIO DE LOS TRABAJADORES EN LUCHA</t>
  </si>
  <si>
    <t>Nota: El Partido Unión Agrícola Cartaginés obtuvo 1 diputación en Cartago; aparece agrupado como “Otros” en la tabla auxiliar.</t>
  </si>
  <si>
    <t>FUERZA DEMOCRÁTICA</t>
  </si>
  <si>
    <t>VANGUARDIA POPULAR</t>
  </si>
  <si>
    <t>GUANACASTE INDEPENDIENTE</t>
  </si>
  <si>
    <t>CONVERGENCIA NACIONAL</t>
  </si>
  <si>
    <t>Nota: El Partido Agrario Nacional obtuvo 1 diputación en Limón y el Partido Unión Agrícola Cartaginés obtuvo 1 en Cartago; aparecen agrupados como “Otros” en la tabla auxiliar.</t>
  </si>
  <si>
    <t>MOVIMIENTO LIBERTARIO</t>
  </si>
  <si>
    <t>INTEGRACIÓN NACIONAL</t>
  </si>
  <si>
    <t>RENOVACIÓN COSTARRICENSE</t>
  </si>
  <si>
    <t>PUEBLO UNIDO</t>
  </si>
  <si>
    <t>UNIÓN GENERAL</t>
  </si>
  <si>
    <t>NUEVO PARTIDO DEMOCRÁTICO</t>
  </si>
  <si>
    <t>RESCATE NACIONAL</t>
  </si>
  <si>
    <t>CAMBIO YA</t>
  </si>
  <si>
    <t>FUERZA AGRARIA DE LOS CARTAGINESES</t>
  </si>
  <si>
    <t>Nota: El Partido Acción Laborista Agrícola obtuvo 1 diputación en Alajuela; aparece agrupado como “Otros” en la tabla auxiliar.</t>
  </si>
  <si>
    <t>ACCIÓN CIUDADANA</t>
  </si>
  <si>
    <t>CAMBIO 2000</t>
  </si>
  <si>
    <t>INDEPENDIENTE OBRERO</t>
  </si>
  <si>
    <t>PATRIÓTICO NACIONAL</t>
  </si>
  <si>
    <t>UNIÓN PARA EL CAMBIO</t>
  </si>
  <si>
    <t>RESTAURACIÓN NACIONAL</t>
  </si>
  <si>
    <t>PATRIA PRIMERO</t>
  </si>
  <si>
    <t>ACCESIBILIDAD SIN EXCLUSIÓN</t>
  </si>
  <si>
    <t>FRENTE AMPLIO</t>
  </si>
  <si>
    <t>ALIANZA DEMOCRÁTICA NACIONALISTA</t>
  </si>
  <si>
    <t>UNIÓN PATRIÓTICA</t>
  </si>
  <si>
    <t>COALICIÓN IZQUIERDA UNIDA</t>
  </si>
  <si>
    <t>AUTÉNTICO HEREDIANO</t>
  </si>
  <si>
    <t>INTEGRACIÓN PROVINCIAL TRES</t>
  </si>
  <si>
    <t>NUEVA LIGA FEMINISTA</t>
  </si>
  <si>
    <t>VERDE ECOLOGISTA</t>
  </si>
  <si>
    <t>MOVIMIENTO DE TRABAJADORES Y CAMPESINOS</t>
  </si>
  <si>
    <t>AUTÉNTICO TURRIALBEÑO CARTAGINÉS</t>
  </si>
  <si>
    <t>Nota: Frente Amplio, Accesibilidad Sin Exclusión y Restauración Nacional obtuvieron 1 diputación cada uno en San José; aparecen agrupados como “Otros” en la tabla auxiliar.</t>
  </si>
  <si>
    <t>ALIANZA PATRIÓTICA</t>
  </si>
  <si>
    <t>RESTAURACIÓN HEREDIANA</t>
  </si>
  <si>
    <t>RESTAURACIÓN ALAJUELENSE</t>
  </si>
  <si>
    <t>TRANSPARENCIA CARTAGINÉS</t>
  </si>
  <si>
    <t>ALIANZA MAYOR</t>
  </si>
  <si>
    <t>FUERZA FAMILIAR ALAJUELENSE</t>
  </si>
  <si>
    <t>PATRIA NUEVA</t>
  </si>
  <si>
    <t>NUEVA GENERACIÓN</t>
  </si>
  <si>
    <t>ALIANZA DEMÓCRATA CRISTIANA</t>
  </si>
  <si>
    <t>AVANCE NACIONAL</t>
  </si>
  <si>
    <t>DE LOS TRABAJADORES</t>
  </si>
  <si>
    <t>DE LOS TRANSPORTISTAS</t>
  </si>
  <si>
    <t>VIVA PUNTARENAS</t>
  </si>
  <si>
    <t>PATRIA, IGUALDAD Y DEMOCRACIA</t>
  </si>
  <si>
    <t>VERDE</t>
  </si>
  <si>
    <t>NUEVO PARTIDO SOCIALISTA</t>
  </si>
  <si>
    <t>Nota: Alianza Demócrata Cristiana obtuvo 1 diputación en Cartago; aparece agrupada como “Otros” en la tabla auxiliar.</t>
  </si>
  <si>
    <t>REPUBLICANO SOCIAL CRISTIANO</t>
  </si>
  <si>
    <t>LIBERAL PROGRESISTA</t>
  </si>
  <si>
    <t>ACTUEMOS YA</t>
  </si>
  <si>
    <t>VAMOS</t>
  </si>
  <si>
    <t>FUERZAS UNIDAS PARA EL CAMBIO</t>
  </si>
  <si>
    <t>TODOS</t>
  </si>
  <si>
    <t>UNIÓN GUANACASTECA</t>
  </si>
  <si>
    <t>COMUNAL UNIDO</t>
  </si>
  <si>
    <t>RECUPERANDO VALORES</t>
  </si>
  <si>
    <t>TODO POR FLORES</t>
  </si>
  <si>
    <t>PROGRESO SOCIAL DEMOCRÁTICO</t>
  </si>
  <si>
    <t>NUEVA REPÚBLICA</t>
  </si>
  <si>
    <t>COSTA RICA JUSTA</t>
  </si>
  <si>
    <t>UNIÓN LIBERAL</t>
  </si>
  <si>
    <t>FUERZA NACIONAL</t>
  </si>
  <si>
    <t>UNIDOS PODEMOS</t>
  </si>
  <si>
    <t>JUSTICIA SOCIAL COSTARRICENSE</t>
  </si>
  <si>
    <t>MOVIMIENTO SOCIAL DEMÓCRATA COSTARRICENSE</t>
  </si>
  <si>
    <t>ENCUENTRO NACIONAL</t>
  </si>
  <si>
    <t>NUESTRO PUEBLO</t>
  </si>
  <si>
    <t>UNIÓN COSTARRICENSE DEMOCRÁTICA</t>
  </si>
  <si>
    <t>SOMOS</t>
  </si>
  <si>
    <t>RENOVACIÓN CARTAGO</t>
  </si>
  <si>
    <t>ANTICORRUPCIÓN COSTARRICENSE</t>
  </si>
  <si>
    <t>UNIDOS POR COSTA RICA</t>
  </si>
  <si>
    <t>NUEVO PARTIDO SOCIALISTA-CARTAGO</t>
  </si>
  <si>
    <t>IZQUIERDA COSTARRICENSE</t>
  </si>
  <si>
    <t>PUEBLO SOBERANO</t>
  </si>
  <si>
    <t>AGENDA CIUDADANA</t>
  </si>
  <si>
    <t>AVANZA</t>
  </si>
  <si>
    <t>COMPATRIOTAS</t>
  </si>
  <si>
    <t>CENTRO DEMOCRÁTICO Y SOCIAL</t>
  </si>
  <si>
    <t>DE LA CLASE TRABAJADORA</t>
  </si>
  <si>
    <t>ESPERANZA Y LIBERTAD</t>
  </si>
  <si>
    <t>ESPERANZA NACIONAL</t>
  </si>
  <si>
    <t>AQUÍ COSTA RICA MANDA</t>
  </si>
  <si>
    <t>ALIANZA COSTA RICA PRIMERO</t>
  </si>
  <si>
    <t>48.53%</t>
  </si>
  <si>
    <t>33.64%</t>
  </si>
  <si>
    <t>3.76%</t>
  </si>
  <si>
    <t>4.90%</t>
  </si>
  <si>
    <t>2.66%</t>
  </si>
  <si>
    <t>2.19%</t>
  </si>
  <si>
    <t>1.79%</t>
  </si>
  <si>
    <t>0.83%</t>
  </si>
  <si>
    <t>0.33%</t>
  </si>
  <si>
    <t>0.25%</t>
  </si>
  <si>
    <t>0.21%</t>
  </si>
  <si>
    <t>0.15%</t>
  </si>
  <si>
    <t>0.08%</t>
  </si>
  <si>
    <t>0.09%</t>
  </si>
  <si>
    <t>0.07%</t>
  </si>
  <si>
    <t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</si>
</sst>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</font>
    <font>
      <b/>
      <sz val="12"/>
      <color theme="1"/>
      <name val="Aptos Narrow"/>
    </font>
    <font>
      <b/>
      <sz val="18"/>
      <color theme="1"/>
      <name val="Aptos Narrow"/>
    </font>
    <font>
      <b/>
      <sz val="12"/>
      <color theme="1"/>
      <name val="Aptos Narrow"/>
    </font>
    <font>
      <i/>
      <sz val="9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rgb="FFFFFFFF"/>
      </patternFill>
    </fill>
    <fill>
      <patternFill patternType="solid">
        <fgColor rgb="FFD1D1D1"/>
      </patternFill>
    </fill>
    <fill>
      <patternFill patternType="solid">
        <fgColor theme="2" tint="-9.9978637043366805E-2"/>
        <bgColor indexed="6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6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3" fontId="0" fillId="3" borderId="7" xfId="0" applyNumberFormat="1" applyFill="1" applyBorder="1" applyAlignment="1">
      <alignment horizontal="center" vertical="center"/>
    </xf>
    <xf numFmtId="10" fontId="0" fillId="3" borderId="7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3" fontId="0" fillId="4" borderId="10" xfId="0" applyNumberForma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3" fontId="0" fillId="3" borderId="12" xfId="0" applyNumberFormat="1" applyFill="1" applyBorder="1" applyAlignment="1">
      <alignment horizontal="center" vertical="center"/>
    </xf>
    <xf numFmtId="3" fontId="0" fillId="5" borderId="1" xfId="0" applyNumberFormat="1" applyFill="1" applyBorder="1"/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M25"/>
  <sheetViews>
    <sheetView workbookViewId="0">
      <selection activeCell="F21" sqref="A21:F21"/>
    </sheetView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1.1640625" style="1" customWidth="1"/>
    <col min="4" max="4" width="39.6640625" style="1" customWidth="1"/>
    <col min="5" max="5" width="27.6640625" style="1" customWidth="1"/>
    <col min="6" max="6" width="24.6640625" style="1" customWidth="1"/>
    <col min="7" max="9" width="18.6640625" style="1" customWidth="1"/>
    <col min="10" max="10" width="16.6640625" style="1" customWidth="1"/>
    <col min="11" max="11" width="19" style="1" customWidth="1"/>
    <col min="12" max="12" width="17.6640625" style="1" customWidth="1"/>
    <col min="13" max="13" width="23.1640625" style="1" customWidth="1"/>
    <col min="14" max="16384" width="10.6640625" style="1"/>
  </cols>
  <sheetData>
    <row r="5" spans="1:13" ht="24" x14ac:dyDescent="0.3">
      <c r="A5" s="29">
        <v>1953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1"/>
    </row>
    <row r="6" spans="1:13" s="2" customFormat="1" x14ac:dyDescent="0.2">
      <c r="A6" s="3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</row>
    <row r="7" spans="1:13" x14ac:dyDescent="0.2">
      <c r="A7" s="3" t="s">
        <v>13</v>
      </c>
      <c r="B7" s="8">
        <v>22770</v>
      </c>
      <c r="C7" s="8">
        <v>8881</v>
      </c>
      <c r="D7" s="8">
        <v>0</v>
      </c>
      <c r="E7" s="8">
        <v>1927</v>
      </c>
      <c r="F7" s="8">
        <v>1965</v>
      </c>
      <c r="G7" s="8">
        <v>2467</v>
      </c>
      <c r="H7" s="8">
        <v>17325</v>
      </c>
      <c r="I7" s="4">
        <f>SUM(B7:H7)</f>
        <v>55335</v>
      </c>
      <c r="J7" s="4">
        <f>SUM(E7+D7+C7+B7)</f>
        <v>33578</v>
      </c>
      <c r="K7" s="4">
        <f>SUM(B7:G7)</f>
        <v>38010</v>
      </c>
      <c r="L7" s="5">
        <f>(K7-J7)/K7</f>
        <v>0.11660089450144699</v>
      </c>
      <c r="M7" s="5">
        <f>H7/I7</f>
        <v>0.31309297912713474</v>
      </c>
    </row>
    <row r="8" spans="1:13" x14ac:dyDescent="0.2">
      <c r="A8" s="3" t="s">
        <v>14</v>
      </c>
      <c r="B8" s="8">
        <v>16532</v>
      </c>
      <c r="C8" s="8">
        <v>3990</v>
      </c>
      <c r="D8" s="8">
        <v>0</v>
      </c>
      <c r="E8" s="8">
        <v>1369</v>
      </c>
      <c r="F8" s="8">
        <v>1063</v>
      </c>
      <c r="G8" s="8">
        <v>1599</v>
      </c>
      <c r="H8" s="8">
        <v>10426</v>
      </c>
      <c r="I8" s="4">
        <f t="shared" ref="I8:I13" si="0">SUM(B8:H8)</f>
        <v>34979</v>
      </c>
      <c r="J8" s="4">
        <f t="shared" ref="J8:J13" si="1">SUM(E8+D8+C8+B8)</f>
        <v>21891</v>
      </c>
      <c r="K8" s="4">
        <f>SUM(B8:G8)</f>
        <v>24553</v>
      </c>
      <c r="L8" s="5">
        <f>(K8-J8)/K8</f>
        <v>0.10841852319472162</v>
      </c>
      <c r="M8" s="5">
        <f>H8/I8</f>
        <v>0.29806455301752482</v>
      </c>
    </row>
    <row r="9" spans="1:13" x14ac:dyDescent="0.2">
      <c r="A9" s="3" t="s">
        <v>15</v>
      </c>
      <c r="B9" s="8">
        <v>7937</v>
      </c>
      <c r="C9" s="8">
        <v>5361</v>
      </c>
      <c r="D9" s="8">
        <v>0</v>
      </c>
      <c r="E9" s="8">
        <v>1608</v>
      </c>
      <c r="F9" s="8">
        <v>714</v>
      </c>
      <c r="G9" s="8">
        <v>1444</v>
      </c>
      <c r="H9" s="8">
        <v>9618</v>
      </c>
      <c r="I9" s="4">
        <f t="shared" si="0"/>
        <v>26682</v>
      </c>
      <c r="J9" s="4">
        <f t="shared" si="1"/>
        <v>14906</v>
      </c>
      <c r="K9" s="4">
        <f>SUM(B9:G9)</f>
        <v>17064</v>
      </c>
      <c r="L9" s="5">
        <f>(K9-J9)/K9</f>
        <v>0.12646507266760432</v>
      </c>
      <c r="M9" s="5">
        <f>H9/I9</f>
        <v>0.36046773105464358</v>
      </c>
    </row>
    <row r="10" spans="1:13" x14ac:dyDescent="0.2">
      <c r="A10" s="3" t="s">
        <v>16</v>
      </c>
      <c r="B10" s="8">
        <v>8195</v>
      </c>
      <c r="C10" s="8">
        <v>4072</v>
      </c>
      <c r="D10" s="8">
        <v>0</v>
      </c>
      <c r="E10" s="8">
        <v>827</v>
      </c>
      <c r="F10" s="8">
        <v>811</v>
      </c>
      <c r="G10" s="8">
        <v>809</v>
      </c>
      <c r="H10" s="8">
        <v>4943</v>
      </c>
      <c r="I10" s="4">
        <f t="shared" si="0"/>
        <v>19657</v>
      </c>
      <c r="J10" s="4">
        <f t="shared" si="1"/>
        <v>13094</v>
      </c>
      <c r="K10" s="4">
        <f t="shared" ref="K10:K12" si="2">SUM(B10:G10)</f>
        <v>14714</v>
      </c>
      <c r="L10" s="5">
        <f>(K10-J10)/K10</f>
        <v>0.11009922522767432</v>
      </c>
      <c r="M10" s="5">
        <f t="shared" ref="M10:M11" si="3">H10/I10</f>
        <v>0.25146258330365773</v>
      </c>
    </row>
    <row r="11" spans="1:13" x14ac:dyDescent="0.2">
      <c r="A11" s="3" t="s">
        <v>17</v>
      </c>
      <c r="B11" s="8">
        <v>3446</v>
      </c>
      <c r="C11" s="8">
        <v>1925</v>
      </c>
      <c r="D11" s="8">
        <v>0</v>
      </c>
      <c r="E11" s="8">
        <v>895</v>
      </c>
      <c r="F11" s="8">
        <v>240</v>
      </c>
      <c r="G11" s="8">
        <v>612</v>
      </c>
      <c r="H11" s="8">
        <v>4168</v>
      </c>
      <c r="I11" s="4">
        <f t="shared" si="0"/>
        <v>11286</v>
      </c>
      <c r="J11" s="4">
        <f t="shared" si="1"/>
        <v>6266</v>
      </c>
      <c r="K11" s="4">
        <f t="shared" si="2"/>
        <v>7118</v>
      </c>
      <c r="L11" s="5">
        <f t="shared" ref="L11:L14" si="4">(K11-J11)/K11</f>
        <v>0.11969654397302613</v>
      </c>
      <c r="M11" s="5">
        <f t="shared" si="3"/>
        <v>0.36930710614921142</v>
      </c>
    </row>
    <row r="12" spans="1:13" x14ac:dyDescent="0.2">
      <c r="A12" s="3" t="s">
        <v>18</v>
      </c>
      <c r="B12" s="8">
        <v>7810</v>
      </c>
      <c r="C12" s="8">
        <v>4750</v>
      </c>
      <c r="D12" s="8">
        <v>0</v>
      </c>
      <c r="E12" s="8">
        <v>647</v>
      </c>
      <c r="F12" s="8">
        <v>644</v>
      </c>
      <c r="G12" s="8">
        <v>1183</v>
      </c>
      <c r="H12" s="8">
        <v>15156</v>
      </c>
      <c r="I12" s="4">
        <f t="shared" si="0"/>
        <v>30190</v>
      </c>
      <c r="J12" s="4">
        <f t="shared" si="1"/>
        <v>13207</v>
      </c>
      <c r="K12" s="4">
        <f t="shared" si="2"/>
        <v>15034</v>
      </c>
      <c r="L12" s="5">
        <f>(K12-J12)/K12</f>
        <v>0.12152454436610349</v>
      </c>
      <c r="M12" s="5">
        <f>H12/I12</f>
        <v>0.50202053660152368</v>
      </c>
    </row>
    <row r="13" spans="1:13" x14ac:dyDescent="0.2">
      <c r="A13" s="3" t="s">
        <v>19</v>
      </c>
      <c r="B13" s="8">
        <v>47353</v>
      </c>
      <c r="C13" s="8">
        <v>8343</v>
      </c>
      <c r="D13" s="9">
        <v>12696</v>
      </c>
      <c r="E13" s="8">
        <v>4796</v>
      </c>
      <c r="F13" s="8">
        <v>2831</v>
      </c>
      <c r="G13" s="8">
        <v>5758</v>
      </c>
      <c r="H13" s="8">
        <v>33772</v>
      </c>
      <c r="I13" s="4">
        <f t="shared" si="0"/>
        <v>115549</v>
      </c>
      <c r="J13" s="4">
        <f t="shared" si="1"/>
        <v>73188</v>
      </c>
      <c r="K13" s="4">
        <f>SUM(B13:G13)</f>
        <v>81777</v>
      </c>
      <c r="L13" s="5">
        <f t="shared" si="4"/>
        <v>0.10502953153087054</v>
      </c>
      <c r="M13" s="5">
        <f>H13/I13</f>
        <v>0.29227427325204025</v>
      </c>
    </row>
    <row r="14" spans="1:13" x14ac:dyDescent="0.2">
      <c r="A14" s="3" t="s">
        <v>20</v>
      </c>
      <c r="B14" s="4">
        <f>SUM(B7:B13)</f>
        <v>114043</v>
      </c>
      <c r="C14" s="4">
        <f>SUM(C7:C13)</f>
        <v>37322</v>
      </c>
      <c r="D14" s="4">
        <f>SUM(D7:D13)</f>
        <v>12696</v>
      </c>
      <c r="E14" s="6">
        <f>SUM(E7:E13)</f>
        <v>12069</v>
      </c>
      <c r="F14" s="4">
        <f t="shared" ref="F14:G14" si="5">SUM(F7:F13)</f>
        <v>8268</v>
      </c>
      <c r="G14" s="4">
        <f t="shared" si="5"/>
        <v>13872</v>
      </c>
      <c r="H14" s="4">
        <f>SUM(H7:H13)</f>
        <v>95408</v>
      </c>
      <c r="I14" s="4">
        <f>SUM(I7:I13)</f>
        <v>293678</v>
      </c>
      <c r="J14" s="4">
        <f>SUM(J7:J13)</f>
        <v>176130</v>
      </c>
      <c r="K14" s="4">
        <f>SUM(K7:K13)</f>
        <v>198270</v>
      </c>
      <c r="L14" s="5">
        <f t="shared" si="4"/>
        <v>0.11166591012256015</v>
      </c>
      <c r="M14" s="5">
        <f>H14/I14</f>
        <v>0.32487281989117334</v>
      </c>
    </row>
    <row r="15" spans="1:13" x14ac:dyDescent="0.2">
      <c r="A15" s="3" t="s">
        <v>21</v>
      </c>
      <c r="B15" s="5">
        <f>B14/$J$14</f>
        <v>0.64749332879123378</v>
      </c>
      <c r="C15" s="5">
        <f>C14/$J$14</f>
        <v>0.21190030091409753</v>
      </c>
      <c r="D15" s="5">
        <f>D14/$J$14</f>
        <v>7.2083120422415256E-2</v>
      </c>
      <c r="E15" s="5">
        <f>E14/$J$14</f>
        <v>6.8523249872253444E-2</v>
      </c>
      <c r="F15" s="5"/>
    </row>
    <row r="16" spans="1:13" x14ac:dyDescent="0.2">
      <c r="A16" s="3" t="s">
        <v>22</v>
      </c>
      <c r="B16" s="5">
        <v>0.64710000000000001</v>
      </c>
      <c r="C16" s="5">
        <v>0.35289999999999999</v>
      </c>
      <c r="D16" s="5">
        <v>0</v>
      </c>
      <c r="E16" s="12">
        <v>0</v>
      </c>
      <c r="F16" s="11"/>
    </row>
    <row r="17" spans="1:6" s="2" customFormat="1" x14ac:dyDescent="0.2">
      <c r="A17" s="3" t="s">
        <v>23</v>
      </c>
      <c r="B17" s="7" t="s">
        <v>1</v>
      </c>
      <c r="C17" s="7" t="s">
        <v>2</v>
      </c>
      <c r="D17" s="7" t="s">
        <v>3</v>
      </c>
      <c r="E17" s="16" t="s">
        <v>4</v>
      </c>
      <c r="F17" s="13" t="s">
        <v>24</v>
      </c>
    </row>
    <row r="18" spans="1:6" x14ac:dyDescent="0.2">
      <c r="A18" s="3" t="s">
        <v>13</v>
      </c>
      <c r="B18" s="8">
        <v>6</v>
      </c>
      <c r="C18" s="8">
        <v>2</v>
      </c>
      <c r="D18" s="8">
        <v>0</v>
      </c>
      <c r="E18" s="8">
        <v>0</v>
      </c>
      <c r="F18" s="15">
        <f t="shared" ref="F18:F23" si="6">SUM(B18:E18)</f>
        <v>8</v>
      </c>
    </row>
    <row r="19" spans="1:6" x14ac:dyDescent="0.2">
      <c r="A19" s="3" t="s">
        <v>14</v>
      </c>
      <c r="B19" s="8">
        <v>5</v>
      </c>
      <c r="C19" s="8">
        <v>1</v>
      </c>
      <c r="D19" s="9">
        <v>0</v>
      </c>
      <c r="E19" s="8">
        <v>0</v>
      </c>
      <c r="F19" s="4">
        <f t="shared" si="6"/>
        <v>6</v>
      </c>
    </row>
    <row r="20" spans="1:6" x14ac:dyDescent="0.2">
      <c r="A20" s="3" t="s">
        <v>15</v>
      </c>
      <c r="B20" s="9">
        <v>3</v>
      </c>
      <c r="C20" s="8">
        <v>2</v>
      </c>
      <c r="D20" s="8">
        <v>0</v>
      </c>
      <c r="E20" s="8">
        <v>0</v>
      </c>
      <c r="F20" s="4">
        <f t="shared" si="6"/>
        <v>5</v>
      </c>
    </row>
    <row r="21" spans="1:6" x14ac:dyDescent="0.2">
      <c r="A21" s="3" t="s">
        <v>16</v>
      </c>
      <c r="B21" s="8">
        <v>2</v>
      </c>
      <c r="C21" s="8">
        <v>1</v>
      </c>
      <c r="D21" s="8">
        <v>0</v>
      </c>
      <c r="E21" s="8">
        <v>0</v>
      </c>
      <c r="F21" s="4">
        <f t="shared" si="6"/>
        <v>3</v>
      </c>
    </row>
    <row r="22" spans="1:6" x14ac:dyDescent="0.2">
      <c r="A22" s="3" t="s">
        <v>17</v>
      </c>
      <c r="B22" s="8">
        <v>1</v>
      </c>
      <c r="C22" s="8">
        <v>1</v>
      </c>
      <c r="D22" s="8">
        <v>0</v>
      </c>
      <c r="E22" s="8">
        <v>0</v>
      </c>
      <c r="F22" s="4">
        <f t="shared" si="6"/>
        <v>2</v>
      </c>
    </row>
    <row r="23" spans="1:6" x14ac:dyDescent="0.2">
      <c r="A23" s="3" t="s">
        <v>18</v>
      </c>
      <c r="B23" s="8">
        <v>3</v>
      </c>
      <c r="C23" s="8">
        <v>2</v>
      </c>
      <c r="D23" s="8">
        <v>0</v>
      </c>
      <c r="E23" s="8">
        <v>0</v>
      </c>
      <c r="F23" s="4">
        <f t="shared" si="6"/>
        <v>5</v>
      </c>
    </row>
    <row r="24" spans="1:6" x14ac:dyDescent="0.2">
      <c r="A24" s="3" t="s">
        <v>19</v>
      </c>
      <c r="B24" s="8">
        <v>10</v>
      </c>
      <c r="C24" s="8">
        <v>2</v>
      </c>
      <c r="D24" s="8">
        <v>3</v>
      </c>
      <c r="E24" s="8">
        <v>1</v>
      </c>
      <c r="F24" s="4">
        <f>SUM(B24:E24)</f>
        <v>16</v>
      </c>
    </row>
    <row r="25" spans="1:6" x14ac:dyDescent="0.2">
      <c r="A25" s="3" t="s">
        <v>20</v>
      </c>
      <c r="B25" s="4">
        <f>SUM(B18:B24)</f>
        <v>30</v>
      </c>
      <c r="C25" s="4">
        <f>SUM(C18:C24)</f>
        <v>11</v>
      </c>
      <c r="D25" s="4">
        <f>SUM(D18:D24)</f>
        <v>3</v>
      </c>
      <c r="E25" s="4">
        <f>SUM(E18:E24)</f>
        <v>1</v>
      </c>
      <c r="F25" s="4">
        <f>SUM(F18:F24)</f>
        <v>45</v>
      </c>
    </row>
  </sheetData>
  <mergeCells count="1">
    <mergeCell ref="A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Q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1.1640625" style="1" customWidth="1"/>
    <col min="4" max="8" width="39.6640625" style="1" customWidth="1"/>
    <col min="9" max="9" width="27.6640625" style="1" customWidth="1"/>
    <col min="10" max="10" width="24.6640625" style="1" customWidth="1"/>
    <col min="11" max="13" width="18.6640625" style="1" customWidth="1"/>
    <col min="14" max="14" width="16.6640625" style="1" customWidth="1"/>
    <col min="15" max="15" width="19" style="1" customWidth="1"/>
    <col min="16" max="16" width="17.6640625" style="1" customWidth="1"/>
    <col min="17" max="17" width="23.1640625" style="1" customWidth="1"/>
    <col min="18" max="16384" width="10.6640625" style="1"/>
  </cols>
  <sheetData>
    <row r="5" spans="1:17" ht="24" x14ac:dyDescent="0.3">
      <c r="A5" s="29">
        <v>1958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</row>
    <row r="6" spans="1:17" s="2" customFormat="1" x14ac:dyDescent="0.2">
      <c r="A6" s="3" t="s">
        <v>0</v>
      </c>
      <c r="B6" s="7" t="s">
        <v>1</v>
      </c>
      <c r="C6" s="7" t="s">
        <v>25</v>
      </c>
      <c r="D6" s="7" t="s">
        <v>4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30</v>
      </c>
      <c r="J6" s="3" t="s">
        <v>5</v>
      </c>
      <c r="K6" s="3" t="s">
        <v>6</v>
      </c>
      <c r="L6" s="3" t="s">
        <v>7</v>
      </c>
      <c r="M6" s="3" t="s">
        <v>8</v>
      </c>
      <c r="N6" s="3" t="s">
        <v>9</v>
      </c>
      <c r="O6" s="3" t="s">
        <v>10</v>
      </c>
      <c r="P6" s="3" t="s">
        <v>11</v>
      </c>
      <c r="Q6" s="3" t="s">
        <v>12</v>
      </c>
    </row>
    <row r="7" spans="1:17" x14ac:dyDescent="0.2">
      <c r="A7" s="3" t="s">
        <v>13</v>
      </c>
      <c r="B7" s="8">
        <v>19777</v>
      </c>
      <c r="C7" s="8">
        <v>6701</v>
      </c>
      <c r="D7" s="8">
        <v>9519</v>
      </c>
      <c r="E7" s="8">
        <v>2347</v>
      </c>
      <c r="F7" s="8">
        <v>620</v>
      </c>
      <c r="G7" s="8">
        <v>171</v>
      </c>
      <c r="H7" s="8">
        <v>163</v>
      </c>
      <c r="I7" s="8">
        <v>0</v>
      </c>
      <c r="J7" s="8">
        <v>1390</v>
      </c>
      <c r="K7" s="8">
        <v>3136</v>
      </c>
      <c r="L7" s="8">
        <v>20388</v>
      </c>
      <c r="M7" s="4">
        <f>SUM(B7:L7)</f>
        <v>64212</v>
      </c>
      <c r="N7" s="4">
        <f>SUM(B7:I7)</f>
        <v>39298</v>
      </c>
      <c r="O7" s="4">
        <f>SUM(B7:K7)</f>
        <v>43824</v>
      </c>
      <c r="P7" s="5">
        <f>(O7-N7)/O7</f>
        <v>0.10327674333698431</v>
      </c>
      <c r="Q7" s="5">
        <f>L7/M7</f>
        <v>0.31751074565501775</v>
      </c>
    </row>
    <row r="8" spans="1:17" x14ac:dyDescent="0.2">
      <c r="A8" s="3" t="s">
        <v>14</v>
      </c>
      <c r="B8" s="8">
        <v>9749</v>
      </c>
      <c r="C8" s="8">
        <v>3362</v>
      </c>
      <c r="D8" s="8">
        <v>4197</v>
      </c>
      <c r="E8" s="8">
        <v>4863</v>
      </c>
      <c r="F8" s="8">
        <v>1171</v>
      </c>
      <c r="G8" s="8">
        <v>164</v>
      </c>
      <c r="H8" s="8">
        <v>118</v>
      </c>
      <c r="I8" s="8">
        <v>614</v>
      </c>
      <c r="J8" s="8">
        <v>861</v>
      </c>
      <c r="K8" s="8">
        <v>2080</v>
      </c>
      <c r="L8" s="8">
        <v>13428</v>
      </c>
      <c r="M8" s="4">
        <f t="shared" ref="M8:M13" si="0">SUM(B8:L8)</f>
        <v>40607</v>
      </c>
      <c r="N8" s="4">
        <f t="shared" ref="N8:N13" si="1">SUM(B8:I8)</f>
        <v>24238</v>
      </c>
      <c r="O8" s="4">
        <f t="shared" ref="O8:O13" si="2">SUM(B8:K8)</f>
        <v>27179</v>
      </c>
      <c r="P8" s="5">
        <f>(O8-N8)/O8</f>
        <v>0.10820854336068288</v>
      </c>
      <c r="Q8" s="5">
        <f>L8/M8</f>
        <v>0.33068190213509985</v>
      </c>
    </row>
    <row r="9" spans="1:17" x14ac:dyDescent="0.2">
      <c r="A9" s="3" t="s">
        <v>15</v>
      </c>
      <c r="B9" s="8">
        <v>8722</v>
      </c>
      <c r="C9" s="8">
        <v>3340</v>
      </c>
      <c r="D9" s="8">
        <v>4703</v>
      </c>
      <c r="E9" s="8">
        <v>1647</v>
      </c>
      <c r="F9" s="8">
        <v>176</v>
      </c>
      <c r="G9" s="8">
        <v>89</v>
      </c>
      <c r="H9" s="8">
        <v>117</v>
      </c>
      <c r="I9" s="8">
        <v>0</v>
      </c>
      <c r="J9" s="8">
        <v>625</v>
      </c>
      <c r="K9" s="8">
        <v>1757</v>
      </c>
      <c r="L9" s="8">
        <v>11124</v>
      </c>
      <c r="M9" s="4">
        <f t="shared" si="0"/>
        <v>32300</v>
      </c>
      <c r="N9" s="4">
        <f t="shared" si="1"/>
        <v>18794</v>
      </c>
      <c r="O9" s="4">
        <f t="shared" si="2"/>
        <v>21176</v>
      </c>
      <c r="P9" s="5">
        <f>(O9-N9)/O9</f>
        <v>0.11248583301851152</v>
      </c>
      <c r="Q9" s="5">
        <f>L9/M9</f>
        <v>0.34439628482972134</v>
      </c>
    </row>
    <row r="10" spans="1:17" x14ac:dyDescent="0.2">
      <c r="A10" s="3" t="s">
        <v>16</v>
      </c>
      <c r="B10" s="8">
        <v>6664</v>
      </c>
      <c r="C10" s="8">
        <v>3737</v>
      </c>
      <c r="D10" s="8">
        <v>2890</v>
      </c>
      <c r="E10" s="8">
        <v>1436</v>
      </c>
      <c r="F10" s="8">
        <v>228</v>
      </c>
      <c r="G10" s="8">
        <v>131</v>
      </c>
      <c r="H10" s="8">
        <v>57</v>
      </c>
      <c r="I10" s="8">
        <v>0</v>
      </c>
      <c r="J10" s="8">
        <v>538</v>
      </c>
      <c r="K10" s="8">
        <v>1026</v>
      </c>
      <c r="L10" s="8">
        <v>7135</v>
      </c>
      <c r="M10" s="4">
        <f t="shared" si="0"/>
        <v>23842</v>
      </c>
      <c r="N10" s="4">
        <f t="shared" si="1"/>
        <v>15143</v>
      </c>
      <c r="O10" s="4">
        <f t="shared" si="2"/>
        <v>16707</v>
      </c>
      <c r="P10" s="5">
        <f>(O10-N10)/O10</f>
        <v>9.3613455437840429E-2</v>
      </c>
      <c r="Q10" s="5">
        <f t="shared" ref="Q10:Q11" si="3">L10/M10</f>
        <v>0.29926180689539467</v>
      </c>
    </row>
    <row r="11" spans="1:17" x14ac:dyDescent="0.2">
      <c r="A11" s="3" t="s">
        <v>17</v>
      </c>
      <c r="B11" s="8">
        <v>3322</v>
      </c>
      <c r="C11" s="8">
        <v>2082</v>
      </c>
      <c r="D11" s="8">
        <v>2144</v>
      </c>
      <c r="E11" s="8">
        <v>438</v>
      </c>
      <c r="F11" s="8">
        <v>86</v>
      </c>
      <c r="G11" s="8">
        <v>55</v>
      </c>
      <c r="H11" s="8">
        <v>32</v>
      </c>
      <c r="I11" s="8">
        <v>0</v>
      </c>
      <c r="J11" s="8">
        <v>148</v>
      </c>
      <c r="K11" s="8">
        <v>735</v>
      </c>
      <c r="L11" s="8">
        <v>5653</v>
      </c>
      <c r="M11" s="4">
        <f t="shared" si="0"/>
        <v>14695</v>
      </c>
      <c r="N11" s="4">
        <f t="shared" si="1"/>
        <v>8159</v>
      </c>
      <c r="O11" s="4">
        <f t="shared" si="2"/>
        <v>9042</v>
      </c>
      <c r="P11" s="5">
        <f t="shared" ref="P11:P14" si="4">(O11-N11)/O11</f>
        <v>9.7655385976553863E-2</v>
      </c>
      <c r="Q11" s="5">
        <f t="shared" si="3"/>
        <v>0.38468866961551546</v>
      </c>
    </row>
    <row r="12" spans="1:17" x14ac:dyDescent="0.2">
      <c r="A12" s="3" t="s">
        <v>18</v>
      </c>
      <c r="B12" s="8">
        <v>6394</v>
      </c>
      <c r="C12" s="8">
        <v>4386</v>
      </c>
      <c r="D12" s="8">
        <v>4058</v>
      </c>
      <c r="E12" s="8">
        <v>1056</v>
      </c>
      <c r="F12" s="8">
        <v>192</v>
      </c>
      <c r="G12" s="8">
        <v>112</v>
      </c>
      <c r="H12" s="8">
        <v>108</v>
      </c>
      <c r="I12" s="8">
        <v>0</v>
      </c>
      <c r="J12" s="8">
        <v>511</v>
      </c>
      <c r="K12" s="8">
        <v>1609</v>
      </c>
      <c r="L12" s="8">
        <v>18360</v>
      </c>
      <c r="M12" s="4">
        <f t="shared" si="0"/>
        <v>36786</v>
      </c>
      <c r="N12" s="4">
        <f t="shared" si="1"/>
        <v>16306</v>
      </c>
      <c r="O12" s="4">
        <f t="shared" si="2"/>
        <v>18426</v>
      </c>
      <c r="P12" s="5">
        <f>(O12-N12)/O12</f>
        <v>0.11505481384999457</v>
      </c>
      <c r="Q12" s="5">
        <f>L12/M12</f>
        <v>0.49910291958897407</v>
      </c>
    </row>
    <row r="13" spans="1:17" x14ac:dyDescent="0.2">
      <c r="A13" s="3" t="s">
        <v>19</v>
      </c>
      <c r="B13" s="8">
        <v>31453</v>
      </c>
      <c r="C13" s="8">
        <v>22563</v>
      </c>
      <c r="D13" s="9">
        <v>16614</v>
      </c>
      <c r="E13" s="9">
        <v>8527</v>
      </c>
      <c r="F13" s="9">
        <v>4382</v>
      </c>
      <c r="G13" s="9">
        <v>695</v>
      </c>
      <c r="H13" s="9">
        <v>344</v>
      </c>
      <c r="I13" s="8">
        <v>0</v>
      </c>
      <c r="J13" s="8">
        <v>1949</v>
      </c>
      <c r="K13" s="8">
        <v>6626</v>
      </c>
      <c r="L13" s="8">
        <v>49185</v>
      </c>
      <c r="M13" s="4">
        <f t="shared" si="0"/>
        <v>142338</v>
      </c>
      <c r="N13" s="4">
        <f t="shared" si="1"/>
        <v>84578</v>
      </c>
      <c r="O13" s="4">
        <f t="shared" si="2"/>
        <v>93153</v>
      </c>
      <c r="P13" s="5">
        <f t="shared" si="4"/>
        <v>9.205285927452686E-2</v>
      </c>
      <c r="Q13" s="5">
        <f>L13/M13</f>
        <v>0.3455507313577541</v>
      </c>
    </row>
    <row r="14" spans="1:17" x14ac:dyDescent="0.2">
      <c r="A14" s="3" t="s">
        <v>20</v>
      </c>
      <c r="B14" s="4">
        <f>SUM(B7:B13)</f>
        <v>86081</v>
      </c>
      <c r="C14" s="4">
        <f>SUM(C7:C13)</f>
        <v>46171</v>
      </c>
      <c r="D14" s="4">
        <f>SUM(D7:D13)</f>
        <v>44125</v>
      </c>
      <c r="E14" s="4">
        <f>SUM(E7:E13)</f>
        <v>20314</v>
      </c>
      <c r="F14" s="4">
        <f t="shared" ref="F14:I14" si="5">SUM(F7:F13)</f>
        <v>6855</v>
      </c>
      <c r="G14" s="4">
        <f t="shared" si="5"/>
        <v>1417</v>
      </c>
      <c r="H14" s="4">
        <f t="shared" si="5"/>
        <v>939</v>
      </c>
      <c r="I14" s="4">
        <f t="shared" si="5"/>
        <v>614</v>
      </c>
      <c r="J14" s="6">
        <f t="shared" ref="J14:K14" si="6">SUM(J7:J13)</f>
        <v>6022</v>
      </c>
      <c r="K14" s="4">
        <f t="shared" si="6"/>
        <v>16969</v>
      </c>
      <c r="L14" s="4">
        <f>SUM(L7:L13)</f>
        <v>125273</v>
      </c>
      <c r="M14" s="4">
        <f>SUM(M7:M13)</f>
        <v>354780</v>
      </c>
      <c r="N14" s="4">
        <f>SUM(N7:N13)</f>
        <v>206516</v>
      </c>
      <c r="O14" s="4">
        <f>SUM(O7:O13)</f>
        <v>229507</v>
      </c>
      <c r="P14" s="5">
        <f t="shared" si="4"/>
        <v>0.10017559377273896</v>
      </c>
      <c r="Q14" s="5">
        <f>L14/M14</f>
        <v>0.35310051299396811</v>
      </c>
    </row>
    <row r="15" spans="1:17" x14ac:dyDescent="0.2">
      <c r="A15" s="3" t="s">
        <v>21</v>
      </c>
      <c r="B15" s="5">
        <f>B14/$N$14</f>
        <v>0.41682484650099749</v>
      </c>
      <c r="C15" s="5">
        <f>C14/$N$14</f>
        <v>0.22357105502721339</v>
      </c>
      <c r="D15" s="5">
        <f>D14/$N$14</f>
        <v>0.21366383234228825</v>
      </c>
      <c r="E15" s="5">
        <f>E14/$N$14</f>
        <v>9.8365259834589089E-2</v>
      </c>
      <c r="F15" s="5">
        <f t="shared" ref="F15:G15" si="7">F14/$N$14</f>
        <v>3.3193554010343025E-2</v>
      </c>
      <c r="G15" s="5">
        <f t="shared" si="7"/>
        <v>6.8614538340854942E-3</v>
      </c>
      <c r="H15" s="5">
        <f>H14/$N$14</f>
        <v>4.546863197040423E-3</v>
      </c>
      <c r="I15" s="5">
        <f>I14/$N$14</f>
        <v>2.9731352534428327E-3</v>
      </c>
      <c r="J15" s="11"/>
    </row>
    <row r="16" spans="1:17" x14ac:dyDescent="0.2">
      <c r="A16" s="3" t="s">
        <v>22</v>
      </c>
      <c r="B16" s="5">
        <v>0.42780000000000001</v>
      </c>
      <c r="C16" s="5">
        <v>0</v>
      </c>
      <c r="D16" s="5">
        <v>0.4642</v>
      </c>
      <c r="E16" s="12">
        <v>0.1079</v>
      </c>
      <c r="F16" s="12">
        <v>0</v>
      </c>
      <c r="G16" s="12">
        <v>0</v>
      </c>
      <c r="H16" s="12">
        <v>0</v>
      </c>
      <c r="I16" s="12">
        <v>0</v>
      </c>
      <c r="J16" s="11"/>
    </row>
    <row r="17" spans="1:10" s="2" customFormat="1" x14ac:dyDescent="0.2">
      <c r="A17" s="3" t="s">
        <v>23</v>
      </c>
      <c r="B17" s="7" t="str">
        <f t="shared" ref="B17:G17" si="8">B6</f>
        <v>LIBERACIÓN NACIONAL</v>
      </c>
      <c r="C17" s="7" t="str">
        <f t="shared" si="8"/>
        <v>REPUBLICANO</v>
      </c>
      <c r="D17" s="7" t="str">
        <f t="shared" si="8"/>
        <v>UNIÓN NACIONAL</v>
      </c>
      <c r="E17" s="10" t="str">
        <f t="shared" si="8"/>
        <v>INDEPENDIENTE</v>
      </c>
      <c r="F17" s="10" t="str">
        <f t="shared" si="8"/>
        <v>UNIÓN CÍVICO REVOLUCIONARIA</v>
      </c>
      <c r="G17" s="10" t="str">
        <f t="shared" si="8"/>
        <v>MOVIMIENTO DEMOCRÁTICO OPOSICIONISTA</v>
      </c>
      <c r="H17" s="10" t="str">
        <f t="shared" ref="H17:I17" si="9">H6</f>
        <v>DEMÓCRATA AUTÉNTICO</v>
      </c>
      <c r="I17" s="16" t="str">
        <f t="shared" si="9"/>
        <v>REPUBLICANO NACIONAL</v>
      </c>
      <c r="J17" s="13" t="s">
        <v>24</v>
      </c>
    </row>
    <row r="18" spans="1:10" x14ac:dyDescent="0.2">
      <c r="A18" s="3" t="s">
        <v>13</v>
      </c>
      <c r="B18" s="8">
        <v>4</v>
      </c>
      <c r="C18" s="8">
        <v>2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15">
        <f t="shared" ref="J18:J22" si="10">SUM(B18:I18)</f>
        <v>8</v>
      </c>
    </row>
    <row r="19" spans="1:10" x14ac:dyDescent="0.2">
      <c r="A19" s="3" t="s">
        <v>14</v>
      </c>
      <c r="B19" s="8">
        <v>3</v>
      </c>
      <c r="C19" s="8">
        <v>1</v>
      </c>
      <c r="D19" s="9">
        <v>1</v>
      </c>
      <c r="E19" s="9">
        <v>1</v>
      </c>
      <c r="F19" s="9">
        <v>0</v>
      </c>
      <c r="G19" s="9">
        <v>0</v>
      </c>
      <c r="H19" s="9">
        <v>0</v>
      </c>
      <c r="I19" s="8">
        <v>0</v>
      </c>
      <c r="J19" s="4">
        <f t="shared" si="10"/>
        <v>6</v>
      </c>
    </row>
    <row r="20" spans="1:10" x14ac:dyDescent="0.2">
      <c r="A20" s="3" t="s">
        <v>15</v>
      </c>
      <c r="B20" s="9">
        <v>3</v>
      </c>
      <c r="C20" s="8">
        <v>1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4">
        <f t="shared" si="10"/>
        <v>5</v>
      </c>
    </row>
    <row r="21" spans="1:10" x14ac:dyDescent="0.2">
      <c r="A21" s="3" t="s">
        <v>16</v>
      </c>
      <c r="B21" s="8">
        <v>1</v>
      </c>
      <c r="C21" s="8">
        <v>1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4">
        <f t="shared" si="10"/>
        <v>3</v>
      </c>
    </row>
    <row r="22" spans="1:10" x14ac:dyDescent="0.2">
      <c r="A22" s="3" t="s">
        <v>17</v>
      </c>
      <c r="B22" s="8">
        <v>1</v>
      </c>
      <c r="C22" s="8">
        <v>0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4">
        <f t="shared" si="10"/>
        <v>2</v>
      </c>
    </row>
    <row r="23" spans="1:10" x14ac:dyDescent="0.2">
      <c r="A23" s="3" t="s">
        <v>18</v>
      </c>
      <c r="B23" s="8">
        <v>2</v>
      </c>
      <c r="C23" s="8">
        <v>2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4">
        <f>SUM(B23:I23)</f>
        <v>5</v>
      </c>
    </row>
    <row r="24" spans="1:10" x14ac:dyDescent="0.2">
      <c r="A24" s="3" t="s">
        <v>19</v>
      </c>
      <c r="B24" s="8">
        <v>6</v>
      </c>
      <c r="C24" s="8">
        <v>4</v>
      </c>
      <c r="D24" s="8">
        <v>3</v>
      </c>
      <c r="E24" s="8">
        <v>2</v>
      </c>
      <c r="F24" s="8">
        <v>1</v>
      </c>
      <c r="G24" s="8">
        <v>0</v>
      </c>
      <c r="H24" s="8">
        <v>0</v>
      </c>
      <c r="I24" s="8">
        <v>0</v>
      </c>
      <c r="J24" s="4">
        <f>SUM(B24:I24)</f>
        <v>16</v>
      </c>
    </row>
    <row r="25" spans="1:10" x14ac:dyDescent="0.2">
      <c r="A25" s="3" t="s">
        <v>20</v>
      </c>
      <c r="B25" s="4">
        <f t="shared" ref="B25:J25" si="11">SUM(B18:B24)</f>
        <v>20</v>
      </c>
      <c r="C25" s="4">
        <f t="shared" si="11"/>
        <v>11</v>
      </c>
      <c r="D25" s="4">
        <f t="shared" si="11"/>
        <v>10</v>
      </c>
      <c r="E25" s="4">
        <f t="shared" si="11"/>
        <v>3</v>
      </c>
      <c r="F25" s="4">
        <f t="shared" si="11"/>
        <v>1</v>
      </c>
      <c r="G25" s="4">
        <f t="shared" si="11"/>
        <v>0</v>
      </c>
      <c r="H25" s="4">
        <f t="shared" si="11"/>
        <v>0</v>
      </c>
      <c r="I25" s="4">
        <f t="shared" si="11"/>
        <v>0</v>
      </c>
      <c r="J25" s="4">
        <f t="shared" si="11"/>
        <v>45</v>
      </c>
    </row>
  </sheetData>
  <mergeCells count="1">
    <mergeCell ref="A5:Q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R25"/>
  <sheetViews>
    <sheetView workbookViewId="0">
      <selection activeCell="D28" sqref="D28"/>
    </sheetView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1.1640625" style="1" customWidth="1"/>
    <col min="4" max="9" width="39.6640625" style="1" customWidth="1"/>
    <col min="10" max="10" width="40.1640625" style="1" customWidth="1"/>
    <col min="11" max="11" width="24.6640625" style="1" customWidth="1"/>
    <col min="12" max="14" width="18.6640625" style="1" customWidth="1"/>
    <col min="15" max="15" width="16.6640625" style="1" customWidth="1"/>
    <col min="16" max="16" width="19" style="1" customWidth="1"/>
    <col min="17" max="17" width="17.6640625" style="1" customWidth="1"/>
    <col min="18" max="18" width="23.1640625" style="1" customWidth="1"/>
    <col min="19" max="16384" width="10.6640625" style="1"/>
  </cols>
  <sheetData>
    <row r="5" spans="1:18" ht="24" x14ac:dyDescent="0.3">
      <c r="A5" s="29">
        <v>1962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1:18" s="2" customFormat="1" x14ac:dyDescent="0.2">
      <c r="A6" s="3" t="s">
        <v>0</v>
      </c>
      <c r="B6" s="7" t="s">
        <v>1</v>
      </c>
      <c r="C6" s="7" t="s">
        <v>25</v>
      </c>
      <c r="D6" s="7" t="s">
        <v>4</v>
      </c>
      <c r="E6" s="7" t="s">
        <v>31</v>
      </c>
      <c r="F6" s="7" t="s">
        <v>32</v>
      </c>
      <c r="G6" s="7" t="s">
        <v>33</v>
      </c>
      <c r="H6" s="7" t="s">
        <v>34</v>
      </c>
      <c r="I6" s="7" t="s">
        <v>35</v>
      </c>
      <c r="J6" s="7" t="s">
        <v>36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12</v>
      </c>
    </row>
    <row r="7" spans="1:18" x14ac:dyDescent="0.2">
      <c r="A7" s="3" t="s">
        <v>13</v>
      </c>
      <c r="B7" s="8">
        <v>34910</v>
      </c>
      <c r="C7" s="8">
        <v>19438</v>
      </c>
      <c r="D7" s="8">
        <v>11796</v>
      </c>
      <c r="E7" s="8">
        <v>1576</v>
      </c>
      <c r="F7" s="8">
        <v>0</v>
      </c>
      <c r="G7" s="8">
        <v>1698</v>
      </c>
      <c r="H7" s="8">
        <v>0</v>
      </c>
      <c r="I7" s="8">
        <v>0</v>
      </c>
      <c r="J7" s="8">
        <v>0</v>
      </c>
      <c r="K7" s="8">
        <v>1665</v>
      </c>
      <c r="L7" s="8">
        <v>1341</v>
      </c>
      <c r="M7" s="8">
        <v>13731</v>
      </c>
      <c r="N7" s="4">
        <f>SUM(B7:M7)</f>
        <v>86155</v>
      </c>
      <c r="O7" s="4">
        <f>SUM(B7:J7)</f>
        <v>69418</v>
      </c>
      <c r="P7" s="4">
        <f>SUM(B7:L7)</f>
        <v>72424</v>
      </c>
      <c r="Q7" s="5">
        <f>(P7-O7)/P7</f>
        <v>4.1505578261349832E-2</v>
      </c>
      <c r="R7" s="5">
        <f>M7/N7</f>
        <v>0.15937554407753468</v>
      </c>
    </row>
    <row r="8" spans="1:18" x14ac:dyDescent="0.2">
      <c r="A8" s="3" t="s">
        <v>14</v>
      </c>
      <c r="B8" s="8">
        <v>26102</v>
      </c>
      <c r="C8" s="8">
        <v>13868</v>
      </c>
      <c r="D8" s="8">
        <v>5932</v>
      </c>
      <c r="E8" s="8">
        <v>574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1107</v>
      </c>
      <c r="L8" s="8">
        <v>711</v>
      </c>
      <c r="M8" s="8">
        <v>8376</v>
      </c>
      <c r="N8" s="4">
        <f t="shared" ref="N8:N13" si="0">SUM(B8:M8)</f>
        <v>56670</v>
      </c>
      <c r="O8" s="4">
        <f>SUM(B8:J8)</f>
        <v>46476</v>
      </c>
      <c r="P8" s="4">
        <f t="shared" ref="P8:P13" si="1">SUM(B8:L8)</f>
        <v>48294</v>
      </c>
      <c r="Q8" s="5">
        <f>(P8-O8)/P8</f>
        <v>3.7644427879239654E-2</v>
      </c>
      <c r="R8" s="5">
        <f>M8/N8</f>
        <v>0.14780307040762308</v>
      </c>
    </row>
    <row r="9" spans="1:18" x14ac:dyDescent="0.2">
      <c r="A9" s="3" t="s">
        <v>15</v>
      </c>
      <c r="B9" s="8">
        <v>16839</v>
      </c>
      <c r="C9" s="8">
        <v>10377</v>
      </c>
      <c r="D9" s="8">
        <v>3844</v>
      </c>
      <c r="E9" s="8">
        <v>255</v>
      </c>
      <c r="F9" s="8">
        <v>0</v>
      </c>
      <c r="G9" s="8">
        <v>0</v>
      </c>
      <c r="H9" s="8">
        <v>0</v>
      </c>
      <c r="I9" s="8">
        <v>903</v>
      </c>
      <c r="J9" s="8">
        <v>0</v>
      </c>
      <c r="K9" s="8">
        <v>948</v>
      </c>
      <c r="L9" s="8">
        <v>902</v>
      </c>
      <c r="M9" s="8">
        <v>9774</v>
      </c>
      <c r="N9" s="4">
        <f t="shared" si="0"/>
        <v>43842</v>
      </c>
      <c r="O9" s="4">
        <f t="shared" ref="O9:O12" si="2">SUM(B9:J9)</f>
        <v>32218</v>
      </c>
      <c r="P9" s="4">
        <f t="shared" si="1"/>
        <v>34068</v>
      </c>
      <c r="Q9" s="5">
        <f>(P9-O9)/P9</f>
        <v>5.4303158389104142E-2</v>
      </c>
      <c r="R9" s="5">
        <f>M9/N9</f>
        <v>0.22293690981250855</v>
      </c>
    </row>
    <row r="10" spans="1:18" x14ac:dyDescent="0.2">
      <c r="A10" s="3" t="s">
        <v>16</v>
      </c>
      <c r="B10" s="8">
        <v>13240</v>
      </c>
      <c r="C10" s="8">
        <v>10247</v>
      </c>
      <c r="D10" s="8">
        <v>3521</v>
      </c>
      <c r="E10" s="8">
        <v>835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774</v>
      </c>
      <c r="L10" s="8">
        <v>332</v>
      </c>
      <c r="M10" s="8">
        <v>4840</v>
      </c>
      <c r="N10" s="4">
        <f t="shared" si="0"/>
        <v>33789</v>
      </c>
      <c r="O10" s="4">
        <f t="shared" si="2"/>
        <v>27843</v>
      </c>
      <c r="P10" s="4">
        <f t="shared" si="1"/>
        <v>28949</v>
      </c>
      <c r="Q10" s="5">
        <f>(P10-O10)/P10</f>
        <v>3.8205119347818575E-2</v>
      </c>
      <c r="R10" s="5">
        <f t="shared" ref="R10:R11" si="3">M10/N10</f>
        <v>0.14324188345319483</v>
      </c>
    </row>
    <row r="11" spans="1:18" x14ac:dyDescent="0.2">
      <c r="A11" s="3" t="s">
        <v>17</v>
      </c>
      <c r="B11" s="8">
        <v>6773</v>
      </c>
      <c r="C11" s="8">
        <v>6607</v>
      </c>
      <c r="D11" s="8">
        <v>1047</v>
      </c>
      <c r="E11" s="8">
        <v>414</v>
      </c>
      <c r="F11" s="8">
        <v>0</v>
      </c>
      <c r="G11" s="8">
        <v>0</v>
      </c>
      <c r="H11" s="8">
        <v>0</v>
      </c>
      <c r="I11" s="8">
        <v>0</v>
      </c>
      <c r="J11" s="8">
        <v>125</v>
      </c>
      <c r="K11" s="8">
        <v>244</v>
      </c>
      <c r="L11" s="8">
        <v>278</v>
      </c>
      <c r="M11" s="8">
        <v>5293</v>
      </c>
      <c r="N11" s="4">
        <f t="shared" si="0"/>
        <v>20781</v>
      </c>
      <c r="O11" s="4">
        <f t="shared" si="2"/>
        <v>14966</v>
      </c>
      <c r="P11" s="4">
        <f t="shared" si="1"/>
        <v>15488</v>
      </c>
      <c r="Q11" s="5">
        <f t="shared" ref="Q11:Q14" si="4">(P11-O11)/P11</f>
        <v>3.3703512396694217E-2</v>
      </c>
      <c r="R11" s="5">
        <f t="shared" si="3"/>
        <v>0.2547038159857562</v>
      </c>
    </row>
    <row r="12" spans="1:18" x14ac:dyDescent="0.2">
      <c r="A12" s="3" t="s">
        <v>18</v>
      </c>
      <c r="B12" s="8">
        <v>13226</v>
      </c>
      <c r="C12" s="8">
        <v>12360</v>
      </c>
      <c r="D12" s="8">
        <v>3730</v>
      </c>
      <c r="E12" s="8">
        <v>1498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750</v>
      </c>
      <c r="L12" s="8">
        <v>640</v>
      </c>
      <c r="M12" s="8">
        <v>16243</v>
      </c>
      <c r="N12" s="4">
        <f t="shared" si="0"/>
        <v>48447</v>
      </c>
      <c r="O12" s="4">
        <f t="shared" si="2"/>
        <v>30814</v>
      </c>
      <c r="P12" s="4">
        <f t="shared" si="1"/>
        <v>32204</v>
      </c>
      <c r="Q12" s="5">
        <f>(P12-O12)/P12</f>
        <v>4.3162340081977398E-2</v>
      </c>
      <c r="R12" s="5">
        <f>M12/N12</f>
        <v>0.33527359795240158</v>
      </c>
    </row>
    <row r="13" spans="1:18" x14ac:dyDescent="0.2">
      <c r="A13" s="3" t="s">
        <v>19</v>
      </c>
      <c r="B13" s="8">
        <v>73045</v>
      </c>
      <c r="C13" s="8">
        <v>53352</v>
      </c>
      <c r="D13" s="9">
        <v>20151</v>
      </c>
      <c r="E13" s="9">
        <v>4104</v>
      </c>
      <c r="F13" s="9">
        <v>3358</v>
      </c>
      <c r="G13" s="9">
        <v>0</v>
      </c>
      <c r="H13" s="9">
        <v>1192</v>
      </c>
      <c r="I13" s="9">
        <v>0</v>
      </c>
      <c r="J13" s="8">
        <v>0</v>
      </c>
      <c r="K13" s="8">
        <v>2698</v>
      </c>
      <c r="L13" s="8">
        <v>2173</v>
      </c>
      <c r="M13" s="8">
        <v>34253</v>
      </c>
      <c r="N13" s="4">
        <f t="shared" si="0"/>
        <v>194326</v>
      </c>
      <c r="O13" s="4">
        <f>SUM(B13:J13)</f>
        <v>155202</v>
      </c>
      <c r="P13" s="4">
        <f t="shared" si="1"/>
        <v>160073</v>
      </c>
      <c r="Q13" s="5">
        <f t="shared" si="4"/>
        <v>3.0429866373467104E-2</v>
      </c>
      <c r="R13" s="5">
        <f>M13/N13</f>
        <v>0.17626565668001193</v>
      </c>
    </row>
    <row r="14" spans="1:18" x14ac:dyDescent="0.2">
      <c r="A14" s="3" t="s">
        <v>20</v>
      </c>
      <c r="B14" s="4">
        <f>SUM(B7:B13)</f>
        <v>184135</v>
      </c>
      <c r="C14" s="4">
        <f>SUM(C7:C13)</f>
        <v>126249</v>
      </c>
      <c r="D14" s="4">
        <f>SUM(D7:D13)</f>
        <v>50021</v>
      </c>
      <c r="E14" s="4">
        <f>SUM(E7:E13)</f>
        <v>9256</v>
      </c>
      <c r="F14" s="4">
        <f t="shared" ref="F14:L14" si="5">SUM(F7:F13)</f>
        <v>3358</v>
      </c>
      <c r="G14" s="4">
        <f t="shared" si="5"/>
        <v>1698</v>
      </c>
      <c r="H14" s="4">
        <f t="shared" si="5"/>
        <v>1192</v>
      </c>
      <c r="I14" s="4">
        <f t="shared" si="5"/>
        <v>903</v>
      </c>
      <c r="J14" s="4">
        <f t="shared" si="5"/>
        <v>125</v>
      </c>
      <c r="K14" s="6">
        <f t="shared" si="5"/>
        <v>8186</v>
      </c>
      <c r="L14" s="4">
        <f t="shared" si="5"/>
        <v>6377</v>
      </c>
      <c r="M14" s="4">
        <f>SUM(M7:M13)</f>
        <v>92510</v>
      </c>
      <c r="N14" s="4">
        <f>SUM(N7:N13)</f>
        <v>484010</v>
      </c>
      <c r="O14" s="4">
        <f>SUM(O7:O13)</f>
        <v>376937</v>
      </c>
      <c r="P14" s="4">
        <f>SUM(P7:P13)</f>
        <v>391500</v>
      </c>
      <c r="Q14" s="5">
        <f t="shared" si="4"/>
        <v>3.7197956577266919E-2</v>
      </c>
      <c r="R14" s="5">
        <f>M14/N14</f>
        <v>0.19113241461953265</v>
      </c>
    </row>
    <row r="15" spans="1:18" x14ac:dyDescent="0.2">
      <c r="A15" s="3" t="s">
        <v>21</v>
      </c>
      <c r="B15" s="5">
        <f t="shared" ref="B15:J15" si="6">B14/$O$14</f>
        <v>0.48850338385459641</v>
      </c>
      <c r="C15" s="5">
        <f t="shared" si="6"/>
        <v>0.33493395448045693</v>
      </c>
      <c r="D15" s="5">
        <f t="shared" si="6"/>
        <v>0.13270387359160815</v>
      </c>
      <c r="E15" s="5">
        <f t="shared" si="6"/>
        <v>2.4555827631673199E-2</v>
      </c>
      <c r="F15" s="5">
        <f t="shared" si="6"/>
        <v>8.9086505171951814E-3</v>
      </c>
      <c r="G15" s="5">
        <f t="shared" si="6"/>
        <v>4.5047315599158477E-3</v>
      </c>
      <c r="H15" s="5">
        <f t="shared" si="6"/>
        <v>3.1623321669138342E-3</v>
      </c>
      <c r="I15" s="5">
        <f t="shared" si="6"/>
        <v>2.3956257942308662E-3</v>
      </c>
      <c r="J15" s="5">
        <f t="shared" si="6"/>
        <v>3.3162040340958831E-4</v>
      </c>
      <c r="K15" s="11"/>
    </row>
    <row r="16" spans="1:18" x14ac:dyDescent="0.2">
      <c r="A16" s="3" t="s">
        <v>22</v>
      </c>
      <c r="B16" s="5" t="s">
        <v>37</v>
      </c>
      <c r="C16" s="5" t="s">
        <v>38</v>
      </c>
      <c r="D16" s="5" t="s">
        <v>39</v>
      </c>
      <c r="E16" s="12" t="s">
        <v>40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1"/>
    </row>
    <row r="17" spans="1:11" s="2" customFormat="1" x14ac:dyDescent="0.2">
      <c r="A17" s="3" t="s">
        <v>23</v>
      </c>
      <c r="B17" s="7" t="str">
        <f t="shared" ref="B17:J17" si="7">B6</f>
        <v>LIBERACIÓN NACIONAL</v>
      </c>
      <c r="C17" s="7" t="str">
        <f t="shared" si="7"/>
        <v>REPUBLICANO</v>
      </c>
      <c r="D17" s="7" t="str">
        <f t="shared" si="7"/>
        <v>UNIÓN NACIONAL</v>
      </c>
      <c r="E17" s="10" t="str">
        <f t="shared" si="7"/>
        <v>ACCIÓN DEMOCRÁTICA POPULAR</v>
      </c>
      <c r="F17" s="10" t="str">
        <f t="shared" si="7"/>
        <v>ACCIÓN SOLIDARISTA</v>
      </c>
      <c r="G17" s="10" t="str">
        <f t="shared" si="7"/>
        <v>ALAJUELENSE DEMÓCRATA</v>
      </c>
      <c r="H17" s="10" t="str">
        <f t="shared" si="7"/>
        <v>MOVIMIENTO DEPURACIÓN NACIONAL</v>
      </c>
      <c r="I17" s="10" t="str">
        <f t="shared" si="7"/>
        <v>UNIÓN GUANACASTECA INDEPENDIENTE</v>
      </c>
      <c r="J17" s="16" t="str">
        <f t="shared" si="7"/>
        <v>RENOVACIÓN NACIONAL</v>
      </c>
      <c r="K17" s="13" t="s">
        <v>24</v>
      </c>
    </row>
    <row r="18" spans="1:11" x14ac:dyDescent="0.2">
      <c r="A18" s="3" t="s">
        <v>13</v>
      </c>
      <c r="B18" s="8">
        <v>6</v>
      </c>
      <c r="C18" s="8">
        <v>3</v>
      </c>
      <c r="D18" s="8">
        <v>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15">
        <f t="shared" ref="K18:K21" si="8">SUM(B18:J18)</f>
        <v>11</v>
      </c>
    </row>
    <row r="19" spans="1:11" x14ac:dyDescent="0.2">
      <c r="A19" s="3" t="s">
        <v>14</v>
      </c>
      <c r="B19" s="8">
        <v>4</v>
      </c>
      <c r="C19" s="8">
        <v>2</v>
      </c>
      <c r="D19" s="9">
        <v>1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8">
        <v>0</v>
      </c>
      <c r="K19" s="4">
        <f t="shared" si="8"/>
        <v>7</v>
      </c>
    </row>
    <row r="20" spans="1:11" x14ac:dyDescent="0.2">
      <c r="A20" s="3" t="s">
        <v>15</v>
      </c>
      <c r="B20" s="9">
        <v>3</v>
      </c>
      <c r="C20" s="8">
        <v>2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4">
        <f t="shared" si="8"/>
        <v>6</v>
      </c>
    </row>
    <row r="21" spans="1:11" x14ac:dyDescent="0.2">
      <c r="A21" s="3" t="s">
        <v>16</v>
      </c>
      <c r="B21" s="8">
        <v>2</v>
      </c>
      <c r="C21" s="8">
        <v>1</v>
      </c>
      <c r="D21" s="8">
        <v>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4">
        <f t="shared" si="8"/>
        <v>4</v>
      </c>
    </row>
    <row r="22" spans="1:11" x14ac:dyDescent="0.2">
      <c r="A22" s="3" t="s">
        <v>17</v>
      </c>
      <c r="B22" s="8">
        <v>2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4">
        <f>SUM(B22:J22)</f>
        <v>3</v>
      </c>
    </row>
    <row r="23" spans="1:11" x14ac:dyDescent="0.2">
      <c r="A23" s="3" t="s">
        <v>18</v>
      </c>
      <c r="B23" s="8">
        <v>3</v>
      </c>
      <c r="C23" s="8">
        <v>2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4">
        <f>SUM(B23:J23)</f>
        <v>6</v>
      </c>
    </row>
    <row r="24" spans="1:11" x14ac:dyDescent="0.2">
      <c r="A24" s="3" t="s">
        <v>19</v>
      </c>
      <c r="B24" s="8">
        <v>9</v>
      </c>
      <c r="C24" s="8">
        <v>7</v>
      </c>
      <c r="D24" s="8">
        <v>3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4">
        <f>SUM(B24:J24)</f>
        <v>20</v>
      </c>
    </row>
    <row r="25" spans="1:11" x14ac:dyDescent="0.2">
      <c r="A25" s="3"/>
      <c r="B25" s="4">
        <f t="shared" ref="B25:K25" si="9">SUM(B18:B24)</f>
        <v>29</v>
      </c>
      <c r="C25" s="4">
        <f t="shared" si="9"/>
        <v>18</v>
      </c>
      <c r="D25" s="4">
        <f t="shared" si="9"/>
        <v>9</v>
      </c>
      <c r="E25" s="4">
        <f t="shared" si="9"/>
        <v>1</v>
      </c>
      <c r="F25" s="4">
        <f t="shared" si="9"/>
        <v>0</v>
      </c>
      <c r="G25" s="4">
        <f t="shared" si="9"/>
        <v>0</v>
      </c>
      <c r="H25" s="4">
        <f t="shared" si="9"/>
        <v>0</v>
      </c>
      <c r="I25" s="4">
        <f t="shared" si="9"/>
        <v>0</v>
      </c>
      <c r="J25" s="4">
        <f t="shared" si="9"/>
        <v>0</v>
      </c>
      <c r="K25" s="4">
        <f t="shared" si="9"/>
        <v>57</v>
      </c>
    </row>
  </sheetData>
  <mergeCells count="1">
    <mergeCell ref="A5:R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N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6" width="39.6640625" style="1" customWidth="1"/>
    <col min="7" max="7" width="24.6640625" style="1" customWidth="1"/>
    <col min="8" max="10" width="18.6640625" style="1" customWidth="1"/>
    <col min="11" max="11" width="16.6640625" style="1" customWidth="1"/>
    <col min="12" max="12" width="19" style="1" customWidth="1"/>
    <col min="13" max="13" width="17.6640625" style="1" customWidth="1"/>
    <col min="14" max="14" width="23.1640625" style="1" customWidth="1"/>
    <col min="15" max="16384" width="10.6640625" style="1"/>
  </cols>
  <sheetData>
    <row r="5" spans="1:14" ht="24" x14ac:dyDescent="0.3">
      <c r="A5" s="29">
        <v>1966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1"/>
    </row>
    <row r="6" spans="1:14" s="2" customFormat="1" x14ac:dyDescent="0.2">
      <c r="A6" s="3" t="s">
        <v>0</v>
      </c>
      <c r="B6" s="7" t="s">
        <v>1</v>
      </c>
      <c r="C6" s="7" t="s">
        <v>41</v>
      </c>
      <c r="D6" s="7" t="s">
        <v>27</v>
      </c>
      <c r="E6" s="7" t="s">
        <v>2</v>
      </c>
      <c r="F6" s="7" t="s">
        <v>42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</row>
    <row r="7" spans="1:14" x14ac:dyDescent="0.2">
      <c r="A7" s="3" t="s">
        <v>13</v>
      </c>
      <c r="B7" s="8">
        <v>37966</v>
      </c>
      <c r="C7" s="8">
        <v>34382</v>
      </c>
      <c r="D7" s="8">
        <v>2394</v>
      </c>
      <c r="E7" s="8">
        <v>2392</v>
      </c>
      <c r="F7" s="8">
        <v>0</v>
      </c>
      <c r="G7" s="8">
        <v>1723</v>
      </c>
      <c r="H7" s="8">
        <v>5035</v>
      </c>
      <c r="I7" s="8">
        <v>14676</v>
      </c>
      <c r="J7" s="4">
        <f t="shared" ref="J7:J13" si="0">SUM(B7:I7)</f>
        <v>98568</v>
      </c>
      <c r="K7" s="4">
        <f t="shared" ref="K7:K13" si="1">SUM(B7:F7)</f>
        <v>77134</v>
      </c>
      <c r="L7" s="4">
        <f t="shared" ref="L7:L13" si="2">SUM(B7:H7)</f>
        <v>83892</v>
      </c>
      <c r="M7" s="5">
        <f>(L7-K7)/L7</f>
        <v>8.055595289181329E-2</v>
      </c>
      <c r="N7" s="5">
        <f>I7/J7</f>
        <v>0.14889213537862186</v>
      </c>
    </row>
    <row r="8" spans="1:14" x14ac:dyDescent="0.2">
      <c r="A8" s="3" t="s">
        <v>14</v>
      </c>
      <c r="B8" s="8">
        <v>23538</v>
      </c>
      <c r="C8" s="8">
        <v>18710</v>
      </c>
      <c r="D8" s="8">
        <v>2572</v>
      </c>
      <c r="E8" s="8">
        <v>2550</v>
      </c>
      <c r="F8" s="8">
        <v>0</v>
      </c>
      <c r="G8" s="8">
        <v>1112</v>
      </c>
      <c r="H8" s="8">
        <v>4470</v>
      </c>
      <c r="I8" s="8">
        <v>10985</v>
      </c>
      <c r="J8" s="4">
        <f t="shared" si="0"/>
        <v>63937</v>
      </c>
      <c r="K8" s="4">
        <f t="shared" si="1"/>
        <v>47370</v>
      </c>
      <c r="L8" s="4">
        <f t="shared" si="2"/>
        <v>52952</v>
      </c>
      <c r="M8" s="5">
        <f>(L8-K8)/L8</f>
        <v>0.1054162260160145</v>
      </c>
      <c r="N8" s="5">
        <f>I8/J8</f>
        <v>0.17180975022287565</v>
      </c>
    </row>
    <row r="9" spans="1:14" x14ac:dyDescent="0.2">
      <c r="A9" s="3" t="s">
        <v>15</v>
      </c>
      <c r="B9" s="8">
        <v>20228</v>
      </c>
      <c r="C9" s="8">
        <v>15233</v>
      </c>
      <c r="D9" s="8">
        <v>2172</v>
      </c>
      <c r="E9" s="8">
        <v>105</v>
      </c>
      <c r="F9" s="8">
        <v>1529</v>
      </c>
      <c r="G9" s="8">
        <v>797</v>
      </c>
      <c r="H9" s="8">
        <v>3132</v>
      </c>
      <c r="I9" s="8">
        <v>9141</v>
      </c>
      <c r="J9" s="4">
        <f t="shared" si="0"/>
        <v>52337</v>
      </c>
      <c r="K9" s="4">
        <f t="shared" si="1"/>
        <v>39267</v>
      </c>
      <c r="L9" s="4">
        <f t="shared" si="2"/>
        <v>43196</v>
      </c>
      <c r="M9" s="5">
        <f>(L9-K9)/L9</f>
        <v>9.0957496064450416E-2</v>
      </c>
      <c r="N9" s="5">
        <f>I9/J9</f>
        <v>0.17465655272560521</v>
      </c>
    </row>
    <row r="10" spans="1:14" x14ac:dyDescent="0.2">
      <c r="A10" s="3" t="s">
        <v>16</v>
      </c>
      <c r="B10" s="8">
        <v>15404</v>
      </c>
      <c r="C10" s="8">
        <v>14520</v>
      </c>
      <c r="D10" s="8">
        <v>873</v>
      </c>
      <c r="E10" s="8">
        <v>627</v>
      </c>
      <c r="F10" s="8">
        <v>0</v>
      </c>
      <c r="G10" s="8">
        <v>648</v>
      </c>
      <c r="H10" s="8">
        <v>1640</v>
      </c>
      <c r="I10" s="8">
        <v>5598</v>
      </c>
      <c r="J10" s="4">
        <f t="shared" si="0"/>
        <v>39310</v>
      </c>
      <c r="K10" s="4">
        <f t="shared" si="1"/>
        <v>31424</v>
      </c>
      <c r="L10" s="4">
        <f t="shared" si="2"/>
        <v>33712</v>
      </c>
      <c r="M10" s="5">
        <f>(L10-K10)/L10</f>
        <v>6.7869008068343617E-2</v>
      </c>
      <c r="N10" s="5">
        <f t="shared" ref="N10:N11" si="3">I10/J10</f>
        <v>0.14240651233782753</v>
      </c>
    </row>
    <row r="11" spans="1:14" x14ac:dyDescent="0.2">
      <c r="A11" s="3" t="s">
        <v>17</v>
      </c>
      <c r="B11" s="8">
        <v>6773</v>
      </c>
      <c r="C11" s="8">
        <v>6748</v>
      </c>
      <c r="D11" s="8">
        <v>1180</v>
      </c>
      <c r="E11" s="8">
        <v>513</v>
      </c>
      <c r="F11" s="8">
        <v>0</v>
      </c>
      <c r="G11" s="8">
        <v>288</v>
      </c>
      <c r="H11" s="8">
        <v>1469</v>
      </c>
      <c r="I11" s="8">
        <v>7050</v>
      </c>
      <c r="J11" s="4">
        <f t="shared" si="0"/>
        <v>24021</v>
      </c>
      <c r="K11" s="4">
        <f t="shared" si="1"/>
        <v>15214</v>
      </c>
      <c r="L11" s="4">
        <f t="shared" si="2"/>
        <v>16971</v>
      </c>
      <c r="M11" s="5">
        <f t="shared" ref="M11:M14" si="4">(L11-K11)/L11</f>
        <v>0.10352955040952212</v>
      </c>
      <c r="N11" s="5">
        <f t="shared" si="3"/>
        <v>0.29349319345572622</v>
      </c>
    </row>
    <row r="12" spans="1:14" x14ac:dyDescent="0.2">
      <c r="A12" s="3" t="s">
        <v>18</v>
      </c>
      <c r="B12" s="8">
        <v>15852</v>
      </c>
      <c r="C12" s="8">
        <v>18101</v>
      </c>
      <c r="D12" s="8">
        <v>1456</v>
      </c>
      <c r="E12" s="8">
        <v>462</v>
      </c>
      <c r="F12" s="8">
        <v>0</v>
      </c>
      <c r="G12" s="8">
        <v>889</v>
      </c>
      <c r="H12" s="8">
        <v>3108</v>
      </c>
      <c r="I12" s="8">
        <v>15553</v>
      </c>
      <c r="J12" s="4">
        <f t="shared" si="0"/>
        <v>55421</v>
      </c>
      <c r="K12" s="4">
        <f t="shared" si="1"/>
        <v>35871</v>
      </c>
      <c r="L12" s="4">
        <f t="shared" si="2"/>
        <v>39868</v>
      </c>
      <c r="M12" s="5">
        <f>(L12-K12)/L12</f>
        <v>0.10025584428614427</v>
      </c>
      <c r="N12" s="5">
        <f>I12/J12</f>
        <v>0.28063369480882699</v>
      </c>
    </row>
    <row r="13" spans="1:14" x14ac:dyDescent="0.2">
      <c r="A13" s="3" t="s">
        <v>19</v>
      </c>
      <c r="B13" s="8">
        <v>83130</v>
      </c>
      <c r="C13" s="8">
        <v>71259</v>
      </c>
      <c r="D13" s="9">
        <v>12074</v>
      </c>
      <c r="E13" s="9">
        <v>1893</v>
      </c>
      <c r="F13" s="9">
        <v>0</v>
      </c>
      <c r="G13" s="8">
        <v>2633</v>
      </c>
      <c r="H13" s="8">
        <v>9894</v>
      </c>
      <c r="I13" s="8">
        <v>40149</v>
      </c>
      <c r="J13" s="4">
        <f t="shared" si="0"/>
        <v>221032</v>
      </c>
      <c r="K13" s="4">
        <f t="shared" si="1"/>
        <v>168356</v>
      </c>
      <c r="L13" s="4">
        <f t="shared" si="2"/>
        <v>180883</v>
      </c>
      <c r="M13" s="5">
        <f t="shared" si="4"/>
        <v>6.9254711609161718E-2</v>
      </c>
      <c r="N13" s="5">
        <f>I13/J13</f>
        <v>0.18164338195374424</v>
      </c>
    </row>
    <row r="14" spans="1:14" x14ac:dyDescent="0.2">
      <c r="A14" s="3" t="s">
        <v>20</v>
      </c>
      <c r="B14" s="4">
        <f>SUM(B7:B13)</f>
        <v>202891</v>
      </c>
      <c r="C14" s="4">
        <f>SUM(C7:C13)</f>
        <v>178953</v>
      </c>
      <c r="D14" s="4">
        <f>SUM(D7:D13)</f>
        <v>22721</v>
      </c>
      <c r="E14" s="4">
        <f>SUM(E7:E13)</f>
        <v>8542</v>
      </c>
      <c r="F14" s="4">
        <f t="shared" ref="F14:H14" si="5">SUM(F7:F13)</f>
        <v>1529</v>
      </c>
      <c r="G14" s="4">
        <f>SUM(G7:G13)</f>
        <v>8090</v>
      </c>
      <c r="H14" s="4">
        <f t="shared" si="5"/>
        <v>28748</v>
      </c>
      <c r="I14" s="4">
        <f>SUM(I7:I13)</f>
        <v>103152</v>
      </c>
      <c r="J14" s="4">
        <f>SUM(J7:J13)</f>
        <v>554626</v>
      </c>
      <c r="K14" s="4">
        <f>SUM(K7:K13)</f>
        <v>414636</v>
      </c>
      <c r="L14" s="4">
        <f>SUM(L7:L13)</f>
        <v>451474</v>
      </c>
      <c r="M14" s="5">
        <f t="shared" si="4"/>
        <v>8.1594953419244526E-2</v>
      </c>
      <c r="N14" s="5">
        <f>I14/J14</f>
        <v>0.18598478975021004</v>
      </c>
    </row>
    <row r="15" spans="1:14" x14ac:dyDescent="0.2">
      <c r="A15" s="3" t="s">
        <v>21</v>
      </c>
      <c r="B15" s="5">
        <f>B14/$K$14</f>
        <v>0.48932316537879006</v>
      </c>
      <c r="C15" s="5">
        <f>C14/$K$14</f>
        <v>0.43159059994790611</v>
      </c>
      <c r="D15" s="5">
        <f>D14/$K$14</f>
        <v>5.4797460905468894E-2</v>
      </c>
      <c r="E15" s="5">
        <f>E14/$K$14</f>
        <v>2.0601202018155684E-2</v>
      </c>
      <c r="F15" s="5">
        <f>F14/$K$14</f>
        <v>3.6875717496792368E-3</v>
      </c>
      <c r="G15" s="11"/>
    </row>
    <row r="16" spans="1:14" x14ac:dyDescent="0.2">
      <c r="A16" s="3" t="s">
        <v>22</v>
      </c>
      <c r="B16" s="5" t="s">
        <v>43</v>
      </c>
      <c r="C16" s="5">
        <v>0.50480000000000003</v>
      </c>
      <c r="D16" s="5"/>
      <c r="E16" s="12"/>
      <c r="F16" s="12"/>
      <c r="G16" s="11"/>
    </row>
    <row r="17" spans="1:7" s="2" customFormat="1" x14ac:dyDescent="0.2">
      <c r="A17" s="3" t="s">
        <v>23</v>
      </c>
      <c r="B17" s="7" t="str">
        <f>B6</f>
        <v>LIBERACIÓN NACIONAL</v>
      </c>
      <c r="C17" s="7" t="str">
        <f>C6</f>
        <v>UNIFICACIÓN NACIONAL</v>
      </c>
      <c r="D17" s="7" t="str">
        <f>D6</f>
        <v>UNIÓN CÍVICO REVOLUCIONARIA</v>
      </c>
      <c r="E17" s="10" t="str">
        <f>E6</f>
        <v>DEMÓCRATA</v>
      </c>
      <c r="F17" s="16" t="str">
        <f>F6</f>
        <v>REPUBLICANO GUANACASTECO</v>
      </c>
      <c r="G17" s="13" t="s">
        <v>24</v>
      </c>
    </row>
    <row r="18" spans="1:7" x14ac:dyDescent="0.2">
      <c r="A18" s="3" t="s">
        <v>13</v>
      </c>
      <c r="B18" s="8">
        <v>5</v>
      </c>
      <c r="C18" s="8">
        <v>5</v>
      </c>
      <c r="D18" s="8">
        <v>0</v>
      </c>
      <c r="E18" s="8">
        <v>0</v>
      </c>
      <c r="F18" s="8">
        <v>0</v>
      </c>
      <c r="G18" s="15">
        <f t="shared" ref="G18:G24" si="6">SUM(B18:F18)</f>
        <v>10</v>
      </c>
    </row>
    <row r="19" spans="1:7" x14ac:dyDescent="0.2">
      <c r="A19" s="3" t="s">
        <v>14</v>
      </c>
      <c r="B19" s="8">
        <v>4</v>
      </c>
      <c r="C19" s="8">
        <v>3</v>
      </c>
      <c r="D19" s="9">
        <v>0</v>
      </c>
      <c r="E19" s="9">
        <v>0</v>
      </c>
      <c r="F19" s="9">
        <v>0</v>
      </c>
      <c r="G19" s="4">
        <f t="shared" si="6"/>
        <v>7</v>
      </c>
    </row>
    <row r="20" spans="1:7" x14ac:dyDescent="0.2">
      <c r="A20" s="3" t="s">
        <v>15</v>
      </c>
      <c r="B20" s="9">
        <v>3</v>
      </c>
      <c r="C20" s="8">
        <v>3</v>
      </c>
      <c r="D20" s="8">
        <v>0</v>
      </c>
      <c r="E20" s="8">
        <v>0</v>
      </c>
      <c r="F20" s="8">
        <v>0</v>
      </c>
      <c r="G20" s="4">
        <f t="shared" si="6"/>
        <v>6</v>
      </c>
    </row>
    <row r="21" spans="1:7" x14ac:dyDescent="0.2">
      <c r="A21" s="3" t="s">
        <v>16</v>
      </c>
      <c r="B21" s="8">
        <v>2</v>
      </c>
      <c r="C21" s="8">
        <v>1</v>
      </c>
      <c r="D21" s="8">
        <v>0</v>
      </c>
      <c r="E21" s="8">
        <v>0</v>
      </c>
      <c r="F21" s="8">
        <v>0</v>
      </c>
      <c r="G21" s="4">
        <f t="shared" si="6"/>
        <v>3</v>
      </c>
    </row>
    <row r="22" spans="1:7" x14ac:dyDescent="0.2">
      <c r="A22" s="3" t="s">
        <v>17</v>
      </c>
      <c r="B22" s="8">
        <v>2</v>
      </c>
      <c r="C22" s="8">
        <v>1</v>
      </c>
      <c r="D22" s="8">
        <v>0</v>
      </c>
      <c r="E22" s="8">
        <v>0</v>
      </c>
      <c r="F22" s="8">
        <v>0</v>
      </c>
      <c r="G22" s="4">
        <f t="shared" si="6"/>
        <v>3</v>
      </c>
    </row>
    <row r="23" spans="1:7" x14ac:dyDescent="0.2">
      <c r="A23" s="3" t="s">
        <v>18</v>
      </c>
      <c r="B23" s="8">
        <v>3</v>
      </c>
      <c r="C23" s="8">
        <v>4</v>
      </c>
      <c r="D23" s="8">
        <v>0</v>
      </c>
      <c r="E23" s="8">
        <v>0</v>
      </c>
      <c r="F23" s="8">
        <v>0</v>
      </c>
      <c r="G23" s="4">
        <f t="shared" si="6"/>
        <v>7</v>
      </c>
    </row>
    <row r="24" spans="1:7" x14ac:dyDescent="0.2">
      <c r="A24" s="3" t="s">
        <v>19</v>
      </c>
      <c r="B24" s="8">
        <v>10</v>
      </c>
      <c r="C24" s="8">
        <v>9</v>
      </c>
      <c r="D24" s="8">
        <v>2</v>
      </c>
      <c r="E24" s="8">
        <v>0</v>
      </c>
      <c r="F24" s="8">
        <v>0</v>
      </c>
      <c r="G24" s="4">
        <f t="shared" si="6"/>
        <v>21</v>
      </c>
    </row>
    <row r="25" spans="1:7" x14ac:dyDescent="0.2">
      <c r="A25" s="3"/>
      <c r="B25" s="4">
        <f t="shared" ref="B25:G25" si="7">SUM(B18:B24)</f>
        <v>29</v>
      </c>
      <c r="C25" s="4">
        <f t="shared" si="7"/>
        <v>26</v>
      </c>
      <c r="D25" s="4">
        <f t="shared" si="7"/>
        <v>2</v>
      </c>
      <c r="E25" s="4">
        <f t="shared" si="7"/>
        <v>0</v>
      </c>
      <c r="F25" s="4">
        <f t="shared" si="7"/>
        <v>0</v>
      </c>
      <c r="G25" s="4">
        <f t="shared" si="7"/>
        <v>57</v>
      </c>
    </row>
  </sheetData>
  <mergeCells count="1">
    <mergeCell ref="A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R25"/>
  <sheetViews>
    <sheetView workbookViewId="0">
      <selection activeCell="F1" sqref="F1"/>
    </sheetView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10" width="39.6640625" style="1" customWidth="1"/>
    <col min="11" max="11" width="24.6640625" style="1" customWidth="1"/>
    <col min="12" max="14" width="18.6640625" style="1" customWidth="1"/>
    <col min="15" max="15" width="16.6640625" style="1" customWidth="1"/>
    <col min="16" max="16" width="19" style="1" customWidth="1"/>
    <col min="17" max="17" width="17.6640625" style="1" customWidth="1"/>
    <col min="18" max="18" width="23.1640625" style="1" customWidth="1"/>
    <col min="19" max="16384" width="10.6640625" style="1"/>
  </cols>
  <sheetData>
    <row r="5" spans="1:18" ht="24" x14ac:dyDescent="0.3">
      <c r="A5" s="29">
        <v>1970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1:18" s="2" customFormat="1" x14ac:dyDescent="0.2">
      <c r="A6" s="3" t="s">
        <v>0</v>
      </c>
      <c r="B6" s="7" t="s">
        <v>1</v>
      </c>
      <c r="C6" s="7" t="s">
        <v>41</v>
      </c>
      <c r="D6" s="7" t="s">
        <v>44</v>
      </c>
      <c r="E6" s="7" t="s">
        <v>45</v>
      </c>
      <c r="F6" s="7" t="s">
        <v>46</v>
      </c>
      <c r="G6" s="7" t="s">
        <v>4</v>
      </c>
      <c r="H6" s="7" t="s">
        <v>47</v>
      </c>
      <c r="I6" s="7" t="s">
        <v>48</v>
      </c>
      <c r="J6" s="7" t="s">
        <v>49</v>
      </c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  <c r="R6" s="3" t="s">
        <v>12</v>
      </c>
    </row>
    <row r="7" spans="1:18" x14ac:dyDescent="0.2">
      <c r="A7" s="3" t="s">
        <v>13</v>
      </c>
      <c r="B7" s="8">
        <v>49958</v>
      </c>
      <c r="C7" s="8">
        <v>36753</v>
      </c>
      <c r="D7" s="8">
        <v>2300</v>
      </c>
      <c r="E7" s="8">
        <v>3695</v>
      </c>
      <c r="F7" s="8">
        <v>1326</v>
      </c>
      <c r="G7" s="8">
        <v>1251</v>
      </c>
      <c r="H7" s="8">
        <v>214</v>
      </c>
      <c r="I7" s="8">
        <v>0</v>
      </c>
      <c r="J7" s="8">
        <v>0</v>
      </c>
      <c r="K7" s="8">
        <v>2206</v>
      </c>
      <c r="L7" s="8">
        <v>3387</v>
      </c>
      <c r="M7" s="8">
        <v>16462</v>
      </c>
      <c r="N7" s="4">
        <f t="shared" ref="N7:N13" si="0">SUM(B7:M7)</f>
        <v>117552</v>
      </c>
      <c r="O7" s="4">
        <f t="shared" ref="O7:O13" si="1">SUM(B7:J7)</f>
        <v>95497</v>
      </c>
      <c r="P7" s="4">
        <f t="shared" ref="P7:P13" si="2">SUM(B7:L7)</f>
        <v>101090</v>
      </c>
      <c r="Q7" s="5">
        <f>(P7-O7)/P7</f>
        <v>5.5326936393312889E-2</v>
      </c>
      <c r="R7" s="5">
        <f>M7/N7</f>
        <v>0.14004015244317408</v>
      </c>
    </row>
    <row r="8" spans="1:18" x14ac:dyDescent="0.2">
      <c r="A8" s="3" t="s">
        <v>14</v>
      </c>
      <c r="B8" s="8">
        <v>32398</v>
      </c>
      <c r="C8" s="8">
        <v>19278</v>
      </c>
      <c r="D8" s="8">
        <v>1779</v>
      </c>
      <c r="E8" s="8">
        <v>1421</v>
      </c>
      <c r="F8" s="8">
        <v>2075</v>
      </c>
      <c r="G8" s="8">
        <v>421</v>
      </c>
      <c r="H8" s="8">
        <v>449</v>
      </c>
      <c r="I8" s="8">
        <v>2394</v>
      </c>
      <c r="J8" s="8">
        <v>0</v>
      </c>
      <c r="K8" s="8">
        <v>1405</v>
      </c>
      <c r="L8" s="8">
        <v>3270</v>
      </c>
      <c r="M8" s="8">
        <v>10568</v>
      </c>
      <c r="N8" s="4">
        <f t="shared" si="0"/>
        <v>75458</v>
      </c>
      <c r="O8" s="4">
        <f t="shared" si="1"/>
        <v>60215</v>
      </c>
      <c r="P8" s="4">
        <f t="shared" si="2"/>
        <v>64890</v>
      </c>
      <c r="Q8" s="5">
        <f>(P8-O8)/P8</f>
        <v>7.2044999229465251E-2</v>
      </c>
      <c r="R8" s="5">
        <f>M8/N8</f>
        <v>0.14005141933260887</v>
      </c>
    </row>
    <row r="9" spans="1:18" x14ac:dyDescent="0.2">
      <c r="A9" s="3" t="s">
        <v>15</v>
      </c>
      <c r="B9" s="8">
        <v>26422</v>
      </c>
      <c r="C9" s="8">
        <v>18353</v>
      </c>
      <c r="D9" s="8">
        <v>717</v>
      </c>
      <c r="E9" s="8">
        <v>1993</v>
      </c>
      <c r="F9" s="8">
        <v>404</v>
      </c>
      <c r="G9" s="8">
        <v>643</v>
      </c>
      <c r="H9" s="8">
        <v>437</v>
      </c>
      <c r="I9" s="8">
        <v>0</v>
      </c>
      <c r="J9" s="8">
        <v>0</v>
      </c>
      <c r="K9" s="8">
        <v>933</v>
      </c>
      <c r="L9" s="8">
        <v>2435</v>
      </c>
      <c r="M9" s="8">
        <v>10250</v>
      </c>
      <c r="N9" s="4">
        <f t="shared" si="0"/>
        <v>62587</v>
      </c>
      <c r="O9" s="4">
        <f t="shared" si="1"/>
        <v>48969</v>
      </c>
      <c r="P9" s="4">
        <f t="shared" si="2"/>
        <v>52337</v>
      </c>
      <c r="Q9" s="5">
        <f>(P9-O9)/P9</f>
        <v>6.4352179146683994E-2</v>
      </c>
      <c r="R9" s="5">
        <f>M9/N9</f>
        <v>0.16377202933516544</v>
      </c>
    </row>
    <row r="10" spans="1:18" x14ac:dyDescent="0.2">
      <c r="A10" s="3" t="s">
        <v>16</v>
      </c>
      <c r="B10" s="8">
        <v>18625</v>
      </c>
      <c r="C10" s="8">
        <v>14384</v>
      </c>
      <c r="D10" s="8">
        <v>2093</v>
      </c>
      <c r="E10" s="8">
        <v>1665</v>
      </c>
      <c r="F10" s="8">
        <v>1558</v>
      </c>
      <c r="G10" s="8">
        <v>151</v>
      </c>
      <c r="H10" s="8">
        <v>140</v>
      </c>
      <c r="I10" s="8">
        <v>0</v>
      </c>
      <c r="J10" s="8">
        <v>0</v>
      </c>
      <c r="K10" s="8">
        <v>874</v>
      </c>
      <c r="L10" s="8">
        <v>1149</v>
      </c>
      <c r="M10" s="8">
        <v>6268</v>
      </c>
      <c r="N10" s="4">
        <f t="shared" si="0"/>
        <v>46907</v>
      </c>
      <c r="O10" s="4">
        <f t="shared" si="1"/>
        <v>38616</v>
      </c>
      <c r="P10" s="4">
        <f t="shared" si="2"/>
        <v>40639</v>
      </c>
      <c r="Q10" s="5">
        <f>(P10-O10)/P10</f>
        <v>4.977976820295775E-2</v>
      </c>
      <c r="R10" s="5">
        <f t="shared" ref="R10:R11" si="3">M10/N10</f>
        <v>0.13362611124139254</v>
      </c>
    </row>
    <row r="11" spans="1:18" x14ac:dyDescent="0.2">
      <c r="A11" s="3" t="s">
        <v>17</v>
      </c>
      <c r="B11" s="8">
        <v>9199</v>
      </c>
      <c r="C11" s="8">
        <v>8605</v>
      </c>
      <c r="D11" s="8">
        <v>2069</v>
      </c>
      <c r="E11" s="8">
        <v>659</v>
      </c>
      <c r="F11" s="8">
        <v>79</v>
      </c>
      <c r="G11" s="8">
        <v>149</v>
      </c>
      <c r="H11" s="8">
        <v>66</v>
      </c>
      <c r="I11" s="8">
        <v>0</v>
      </c>
      <c r="J11" s="8">
        <v>0</v>
      </c>
      <c r="K11" s="8">
        <v>490</v>
      </c>
      <c r="L11" s="8">
        <v>1501</v>
      </c>
      <c r="M11" s="8">
        <v>9062</v>
      </c>
      <c r="N11" s="4">
        <f t="shared" si="0"/>
        <v>31879</v>
      </c>
      <c r="O11" s="4">
        <f t="shared" si="1"/>
        <v>20826</v>
      </c>
      <c r="P11" s="4">
        <f t="shared" si="2"/>
        <v>22817</v>
      </c>
      <c r="Q11" s="5">
        <f t="shared" ref="Q11:Q14" si="4">(P11-O11)/P11</f>
        <v>8.7259499495989837E-2</v>
      </c>
      <c r="R11" s="5">
        <f t="shared" si="3"/>
        <v>0.28426236707550423</v>
      </c>
    </row>
    <row r="12" spans="1:18" x14ac:dyDescent="0.2">
      <c r="A12" s="3" t="s">
        <v>18</v>
      </c>
      <c r="B12" s="8">
        <v>23194</v>
      </c>
      <c r="C12" s="8">
        <v>19640</v>
      </c>
      <c r="D12" s="8">
        <v>3056</v>
      </c>
      <c r="E12" s="8">
        <v>1564</v>
      </c>
      <c r="F12" s="8">
        <v>342</v>
      </c>
      <c r="G12" s="8">
        <v>404</v>
      </c>
      <c r="H12" s="8">
        <v>544</v>
      </c>
      <c r="I12" s="8">
        <v>0</v>
      </c>
      <c r="J12" s="8">
        <v>208</v>
      </c>
      <c r="K12" s="8">
        <v>1306</v>
      </c>
      <c r="L12" s="8">
        <v>2660</v>
      </c>
      <c r="M12" s="8">
        <v>15967</v>
      </c>
      <c r="N12" s="4">
        <f t="shared" si="0"/>
        <v>68885</v>
      </c>
      <c r="O12" s="4">
        <f t="shared" si="1"/>
        <v>48952</v>
      </c>
      <c r="P12" s="4">
        <f t="shared" si="2"/>
        <v>52918</v>
      </c>
      <c r="Q12" s="5">
        <f>(P12-O12)/P12</f>
        <v>7.4946143089307984E-2</v>
      </c>
      <c r="R12" s="5">
        <f>M12/N12</f>
        <v>0.23179211729694418</v>
      </c>
    </row>
    <row r="13" spans="1:18" x14ac:dyDescent="0.2">
      <c r="A13" s="3" t="s">
        <v>19</v>
      </c>
      <c r="B13" s="8">
        <v>109242</v>
      </c>
      <c r="C13" s="8">
        <v>73374</v>
      </c>
      <c r="D13" s="9">
        <v>17119</v>
      </c>
      <c r="E13" s="9">
        <v>5395</v>
      </c>
      <c r="F13" s="9">
        <v>7705</v>
      </c>
      <c r="G13" s="9">
        <v>3086</v>
      </c>
      <c r="H13" s="9">
        <v>1429</v>
      </c>
      <c r="I13" s="9">
        <v>0</v>
      </c>
      <c r="J13" s="9">
        <v>0</v>
      </c>
      <c r="K13" s="8">
        <v>3659</v>
      </c>
      <c r="L13" s="8">
        <v>6978</v>
      </c>
      <c r="M13" s="8">
        <v>44030</v>
      </c>
      <c r="N13" s="4">
        <f t="shared" si="0"/>
        <v>272017</v>
      </c>
      <c r="O13" s="4">
        <f t="shared" si="1"/>
        <v>217350</v>
      </c>
      <c r="P13" s="4">
        <f t="shared" si="2"/>
        <v>227987</v>
      </c>
      <c r="Q13" s="5">
        <f t="shared" si="4"/>
        <v>4.6656168992091657E-2</v>
      </c>
      <c r="R13" s="5">
        <f>M13/N13</f>
        <v>0.1618648834447847</v>
      </c>
    </row>
    <row r="14" spans="1:18" x14ac:dyDescent="0.2">
      <c r="A14" s="3" t="s">
        <v>20</v>
      </c>
      <c r="B14" s="4">
        <f>SUM(B7:B13)</f>
        <v>269038</v>
      </c>
      <c r="C14" s="4">
        <f>SUM(C7:C13)</f>
        <v>190387</v>
      </c>
      <c r="D14" s="4">
        <f>SUM(D7:D13)</f>
        <v>29133</v>
      </c>
      <c r="E14" s="4">
        <f t="shared" ref="E14:J14" si="5">SUM(E7:E13)</f>
        <v>16392</v>
      </c>
      <c r="F14" s="4">
        <f t="shared" si="5"/>
        <v>13489</v>
      </c>
      <c r="G14" s="4">
        <f t="shared" si="5"/>
        <v>6105</v>
      </c>
      <c r="H14" s="4">
        <f t="shared" si="5"/>
        <v>3279</v>
      </c>
      <c r="I14" s="4">
        <f t="shared" si="5"/>
        <v>2394</v>
      </c>
      <c r="J14" s="4">
        <f t="shared" si="5"/>
        <v>208</v>
      </c>
      <c r="K14" s="4">
        <f>SUM(K7:K13)</f>
        <v>10873</v>
      </c>
      <c r="L14" s="4">
        <f t="shared" ref="L14" si="6">SUM(L7:L13)</f>
        <v>21380</v>
      </c>
      <c r="M14" s="4">
        <f>SUM(M7:M13)</f>
        <v>112607</v>
      </c>
      <c r="N14" s="4">
        <f>SUM(N7:N13)</f>
        <v>675285</v>
      </c>
      <c r="O14" s="4">
        <f>SUM(O7:O13)</f>
        <v>530425</v>
      </c>
      <c r="P14" s="4">
        <f>SUM(P7:P13)</f>
        <v>562678</v>
      </c>
      <c r="Q14" s="5">
        <f t="shared" si="4"/>
        <v>5.7320527904058803E-2</v>
      </c>
      <c r="R14" s="5">
        <f>M14/N14</f>
        <v>0.1667547776124155</v>
      </c>
    </row>
    <row r="15" spans="1:18" x14ac:dyDescent="0.2">
      <c r="A15" s="3" t="s">
        <v>21</v>
      </c>
      <c r="B15" s="5">
        <f>B14/$O$14</f>
        <v>0.50721214120752223</v>
      </c>
      <c r="C15" s="5">
        <f>C14/$O$14</f>
        <v>0.35893293114012348</v>
      </c>
      <c r="D15" s="5">
        <f>D14/$O$14</f>
        <v>5.4923881792901919E-2</v>
      </c>
      <c r="E15" s="5">
        <f t="shared" ref="E15:I15" si="7">E14/$O$14</f>
        <v>3.090352076165339E-2</v>
      </c>
      <c r="F15" s="5">
        <f t="shared" si="7"/>
        <v>2.5430550973276147E-2</v>
      </c>
      <c r="G15" s="5">
        <f t="shared" si="7"/>
        <v>1.1509638497431305E-2</v>
      </c>
      <c r="H15" s="5">
        <f t="shared" si="7"/>
        <v>6.181835320733374E-3</v>
      </c>
      <c r="I15" s="5">
        <f t="shared" si="7"/>
        <v>4.5133619267568462E-3</v>
      </c>
      <c r="J15" s="5">
        <f>J14/$O$14</f>
        <v>3.9213837960126312E-4</v>
      </c>
      <c r="K15" s="11"/>
    </row>
    <row r="16" spans="1:18" x14ac:dyDescent="0.2">
      <c r="A16" s="3" t="s">
        <v>22</v>
      </c>
      <c r="B16" s="5">
        <v>0.54790000000000005</v>
      </c>
      <c r="C16" s="5">
        <v>0.4118</v>
      </c>
      <c r="D16" s="5">
        <v>1.34E-2</v>
      </c>
      <c r="E16" s="12">
        <v>1.77E-2</v>
      </c>
      <c r="F16" s="12">
        <v>9.2999999999999992E-3</v>
      </c>
      <c r="G16" s="12">
        <v>0</v>
      </c>
      <c r="H16" s="12">
        <v>0</v>
      </c>
      <c r="I16" s="12">
        <v>0</v>
      </c>
      <c r="J16" s="12">
        <v>0</v>
      </c>
      <c r="K16" s="11"/>
    </row>
    <row r="17" spans="1:11" s="2" customFormat="1" x14ac:dyDescent="0.2">
      <c r="A17" s="3" t="s">
        <v>23</v>
      </c>
      <c r="B17" s="7" t="str">
        <f>B6</f>
        <v>LIBERACIÓN NACIONAL</v>
      </c>
      <c r="C17" s="7" t="str">
        <f>C6</f>
        <v>UNIFICACIÓN NACIONAL</v>
      </c>
      <c r="D17" s="7" t="str">
        <f>D6</f>
        <v>ACCIÓN SOCIALISTA</v>
      </c>
      <c r="E17" s="7" t="str">
        <f t="shared" ref="E17:J17" si="8">E6</f>
        <v>FRENTE NACIONAL</v>
      </c>
      <c r="F17" s="7" t="str">
        <f t="shared" si="8"/>
        <v>DEMÓCRATA CRISTIANO</v>
      </c>
      <c r="G17" s="7" t="str">
        <f t="shared" si="8"/>
        <v>UNIÓN NACIONAL</v>
      </c>
      <c r="H17" s="7" t="str">
        <f t="shared" si="8"/>
        <v>MOVIMIENTO RENOVADOR COSTARRICENSE</v>
      </c>
      <c r="I17" s="7" t="str">
        <f t="shared" si="8"/>
        <v>UNIÓN AGRÍCOLA CARTAGINÉS</v>
      </c>
      <c r="J17" s="14" t="str">
        <f t="shared" si="8"/>
        <v>RENOVACIÓN PUNTARENENSE</v>
      </c>
      <c r="K17" s="13" t="s">
        <v>24</v>
      </c>
    </row>
    <row r="18" spans="1:11" x14ac:dyDescent="0.2">
      <c r="A18" s="3" t="s">
        <v>13</v>
      </c>
      <c r="B18" s="8">
        <v>6</v>
      </c>
      <c r="C18" s="8">
        <v>4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15">
        <f t="shared" ref="K18:K24" si="9">SUM(B18:J18)</f>
        <v>10</v>
      </c>
    </row>
    <row r="19" spans="1:11" x14ac:dyDescent="0.2">
      <c r="A19" s="3" t="s">
        <v>14</v>
      </c>
      <c r="B19" s="8">
        <v>4</v>
      </c>
      <c r="C19" s="8">
        <v>3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4">
        <f t="shared" si="9"/>
        <v>7</v>
      </c>
    </row>
    <row r="20" spans="1:11" x14ac:dyDescent="0.2">
      <c r="A20" s="3" t="s">
        <v>15</v>
      </c>
      <c r="B20" s="9">
        <v>3</v>
      </c>
      <c r="C20" s="8">
        <v>3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4">
        <f t="shared" si="9"/>
        <v>6</v>
      </c>
    </row>
    <row r="21" spans="1:11" x14ac:dyDescent="0.2">
      <c r="A21" s="3" t="s">
        <v>16</v>
      </c>
      <c r="B21" s="8">
        <v>2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4">
        <f t="shared" si="9"/>
        <v>3</v>
      </c>
    </row>
    <row r="22" spans="1:11" x14ac:dyDescent="0.2">
      <c r="A22" s="3" t="s">
        <v>17</v>
      </c>
      <c r="B22" s="8">
        <v>2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4">
        <f t="shared" si="9"/>
        <v>3</v>
      </c>
    </row>
    <row r="23" spans="1:11" x14ac:dyDescent="0.2">
      <c r="A23" s="3" t="s">
        <v>18</v>
      </c>
      <c r="B23" s="8">
        <v>4</v>
      </c>
      <c r="C23" s="8">
        <v>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4">
        <f t="shared" si="9"/>
        <v>7</v>
      </c>
    </row>
    <row r="24" spans="1:11" x14ac:dyDescent="0.2">
      <c r="A24" s="3" t="s">
        <v>19</v>
      </c>
      <c r="B24" s="8">
        <v>11</v>
      </c>
      <c r="C24" s="8">
        <v>7</v>
      </c>
      <c r="D24" s="8">
        <v>2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4">
        <f t="shared" si="9"/>
        <v>21</v>
      </c>
    </row>
    <row r="25" spans="1:11" x14ac:dyDescent="0.2">
      <c r="A25" s="3"/>
      <c r="B25" s="4">
        <f t="shared" ref="B25:K25" si="10">SUM(B18:B24)</f>
        <v>32</v>
      </c>
      <c r="C25" s="4">
        <f t="shared" si="10"/>
        <v>22</v>
      </c>
      <c r="D25" s="4">
        <f t="shared" si="10"/>
        <v>2</v>
      </c>
      <c r="E25" s="4"/>
      <c r="F25" s="4"/>
      <c r="G25" s="4">
        <f t="shared" si="10"/>
        <v>0</v>
      </c>
      <c r="H25" s="4"/>
      <c r="I25" s="4"/>
      <c r="J25" s="4">
        <f t="shared" si="10"/>
        <v>0</v>
      </c>
      <c r="K25" s="4">
        <f t="shared" si="10"/>
        <v>57</v>
      </c>
    </row>
  </sheetData>
  <mergeCells count="1">
    <mergeCell ref="A5:R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U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13" width="39.6640625" style="1" customWidth="1"/>
    <col min="14" max="14" width="24.6640625" style="1" customWidth="1"/>
    <col min="15" max="17" width="18.6640625" style="1" customWidth="1"/>
    <col min="18" max="18" width="16.6640625" style="1" customWidth="1"/>
    <col min="19" max="19" width="19" style="1" customWidth="1"/>
    <col min="20" max="20" width="17.6640625" style="1" customWidth="1"/>
    <col min="21" max="21" width="23.1640625" style="1" customWidth="1"/>
    <col min="22" max="16384" width="10.6640625" style="1"/>
  </cols>
  <sheetData>
    <row r="5" spans="1:21" ht="24" x14ac:dyDescent="0.3">
      <c r="A5" s="29">
        <v>1974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1"/>
    </row>
    <row r="6" spans="1:21" s="2" customFormat="1" x14ac:dyDescent="0.2">
      <c r="A6" s="3" t="s">
        <v>0</v>
      </c>
      <c r="B6" s="7" t="s">
        <v>1</v>
      </c>
      <c r="C6" s="7" t="s">
        <v>41</v>
      </c>
      <c r="D6" s="7" t="s">
        <v>50</v>
      </c>
      <c r="E6" s="7" t="s">
        <v>51</v>
      </c>
      <c r="F6" s="7" t="s">
        <v>30</v>
      </c>
      <c r="G6" s="7" t="s">
        <v>44</v>
      </c>
      <c r="H6" s="7" t="s">
        <v>2</v>
      </c>
      <c r="I6" s="7" t="s">
        <v>52</v>
      </c>
      <c r="J6" s="7" t="s">
        <v>48</v>
      </c>
      <c r="K6" s="7" t="s">
        <v>53</v>
      </c>
      <c r="L6" s="7" t="s">
        <v>54</v>
      </c>
      <c r="M6" s="7" t="s">
        <v>26</v>
      </c>
      <c r="N6" s="3" t="s">
        <v>5</v>
      </c>
      <c r="O6" s="3" t="s">
        <v>6</v>
      </c>
      <c r="P6" s="3" t="s">
        <v>7</v>
      </c>
      <c r="Q6" s="3" t="s">
        <v>8</v>
      </c>
      <c r="R6" s="3" t="s">
        <v>9</v>
      </c>
      <c r="S6" s="3" t="s">
        <v>10</v>
      </c>
      <c r="T6" s="3" t="s">
        <v>11</v>
      </c>
      <c r="U6" s="3" t="s">
        <v>12</v>
      </c>
    </row>
    <row r="7" spans="1:21" x14ac:dyDescent="0.2">
      <c r="A7" s="3" t="s">
        <v>13</v>
      </c>
      <c r="B7" s="8">
        <v>51895</v>
      </c>
      <c r="C7" s="8">
        <v>29381</v>
      </c>
      <c r="D7" s="8">
        <v>13986</v>
      </c>
      <c r="E7" s="8">
        <v>10763</v>
      </c>
      <c r="F7" s="8">
        <v>3152</v>
      </c>
      <c r="G7" s="8">
        <v>2253</v>
      </c>
      <c r="H7" s="8">
        <v>3467</v>
      </c>
      <c r="I7" s="8">
        <v>955</v>
      </c>
      <c r="J7" s="8">
        <v>0</v>
      </c>
      <c r="K7" s="8">
        <v>881</v>
      </c>
      <c r="L7" s="8">
        <v>0</v>
      </c>
      <c r="M7" s="8">
        <v>350</v>
      </c>
      <c r="N7" s="8">
        <v>2654</v>
      </c>
      <c r="O7" s="8">
        <v>3121</v>
      </c>
      <c r="P7" s="8">
        <v>26747</v>
      </c>
      <c r="Q7" s="4">
        <f t="shared" ref="Q7:Q13" si="0">SUM(B7:P7)</f>
        <v>149605</v>
      </c>
      <c r="R7" s="4">
        <f t="shared" ref="R7:R13" si="1">SUM(B7:M7)</f>
        <v>117083</v>
      </c>
      <c r="S7" s="4">
        <f>SUM(B7:M7)</f>
        <v>117083</v>
      </c>
      <c r="T7" s="5">
        <f>(S7-R7)/S7</f>
        <v>0</v>
      </c>
      <c r="U7" s="5">
        <f>P7/Q7</f>
        <v>0.17878413154640554</v>
      </c>
    </row>
    <row r="8" spans="1:21" x14ac:dyDescent="0.2">
      <c r="A8" s="3" t="s">
        <v>14</v>
      </c>
      <c r="B8" s="8">
        <v>27787</v>
      </c>
      <c r="C8" s="8">
        <v>17205</v>
      </c>
      <c r="D8" s="8">
        <v>8710</v>
      </c>
      <c r="E8" s="8">
        <v>2856</v>
      </c>
      <c r="F8" s="8">
        <v>1973</v>
      </c>
      <c r="G8" s="8">
        <v>1691</v>
      </c>
      <c r="H8" s="8">
        <v>948</v>
      </c>
      <c r="I8" s="8">
        <v>2749</v>
      </c>
      <c r="J8" s="8">
        <v>8074</v>
      </c>
      <c r="K8" s="8">
        <v>425</v>
      </c>
      <c r="L8" s="8">
        <v>0</v>
      </c>
      <c r="M8" s="8">
        <v>502</v>
      </c>
      <c r="N8" s="8">
        <v>1481</v>
      </c>
      <c r="O8" s="8">
        <v>3007</v>
      </c>
      <c r="P8" s="8">
        <v>16320</v>
      </c>
      <c r="Q8" s="4">
        <f t="shared" si="0"/>
        <v>93728</v>
      </c>
      <c r="R8" s="4">
        <f t="shared" si="1"/>
        <v>72920</v>
      </c>
      <c r="S8" s="4">
        <f t="shared" ref="S8:S13" si="2">SUM(B8:M8)</f>
        <v>72920</v>
      </c>
      <c r="T8" s="5">
        <f>(S8-R8)/S8</f>
        <v>0</v>
      </c>
      <c r="U8" s="5">
        <f>P8/Q8</f>
        <v>0.17412086036189825</v>
      </c>
    </row>
    <row r="9" spans="1:21" x14ac:dyDescent="0.2">
      <c r="A9" s="3" t="s">
        <v>15</v>
      </c>
      <c r="B9" s="8">
        <v>26745</v>
      </c>
      <c r="C9" s="8">
        <v>13892</v>
      </c>
      <c r="D9" s="8">
        <v>6062</v>
      </c>
      <c r="E9" s="8">
        <v>2946</v>
      </c>
      <c r="F9" s="8">
        <v>3396</v>
      </c>
      <c r="G9" s="8">
        <v>1877</v>
      </c>
      <c r="H9" s="8">
        <v>258</v>
      </c>
      <c r="I9" s="8">
        <v>2543</v>
      </c>
      <c r="J9" s="8">
        <v>0</v>
      </c>
      <c r="K9" s="8">
        <v>175</v>
      </c>
      <c r="L9" s="8">
        <v>0</v>
      </c>
      <c r="M9" s="8">
        <v>195</v>
      </c>
      <c r="N9" s="8">
        <v>1333</v>
      </c>
      <c r="O9" s="8">
        <v>3114</v>
      </c>
      <c r="P9" s="8">
        <v>14061</v>
      </c>
      <c r="Q9" s="4">
        <f t="shared" si="0"/>
        <v>76597</v>
      </c>
      <c r="R9" s="4">
        <f t="shared" si="1"/>
        <v>58089</v>
      </c>
      <c r="S9" s="4">
        <f t="shared" si="2"/>
        <v>58089</v>
      </c>
      <c r="T9" s="5">
        <f>(S9-R9)/S9</f>
        <v>0</v>
      </c>
      <c r="U9" s="5">
        <f>P9/Q9</f>
        <v>0.18357115813935271</v>
      </c>
    </row>
    <row r="10" spans="1:21" x14ac:dyDescent="0.2">
      <c r="A10" s="3" t="s">
        <v>16</v>
      </c>
      <c r="B10" s="8">
        <v>20655</v>
      </c>
      <c r="C10" s="8">
        <v>11393</v>
      </c>
      <c r="D10" s="8">
        <v>4947</v>
      </c>
      <c r="E10" s="8">
        <v>3744</v>
      </c>
      <c r="F10" s="8">
        <v>3703</v>
      </c>
      <c r="G10" s="8">
        <v>2860</v>
      </c>
      <c r="H10" s="8">
        <v>779</v>
      </c>
      <c r="I10" s="8">
        <v>1750</v>
      </c>
      <c r="J10" s="8">
        <v>0</v>
      </c>
      <c r="K10" s="8">
        <v>329</v>
      </c>
      <c r="L10" s="8">
        <v>0</v>
      </c>
      <c r="M10" s="8">
        <v>128</v>
      </c>
      <c r="N10" s="8">
        <v>972</v>
      </c>
      <c r="O10" s="8">
        <v>1290</v>
      </c>
      <c r="P10" s="8">
        <v>11871</v>
      </c>
      <c r="Q10" s="4">
        <f t="shared" si="0"/>
        <v>64421</v>
      </c>
      <c r="R10" s="4">
        <f t="shared" si="1"/>
        <v>50288</v>
      </c>
      <c r="S10" s="4">
        <f t="shared" si="2"/>
        <v>50288</v>
      </c>
      <c r="T10" s="5">
        <f>(S10-R10)/S10</f>
        <v>0</v>
      </c>
      <c r="U10" s="5">
        <f t="shared" ref="U10:U11" si="3">P10/Q10</f>
        <v>0.18427220937272007</v>
      </c>
    </row>
    <row r="11" spans="1:21" x14ac:dyDescent="0.2">
      <c r="A11" s="3" t="s">
        <v>17</v>
      </c>
      <c r="B11" s="8">
        <v>11368</v>
      </c>
      <c r="C11" s="8">
        <v>10043</v>
      </c>
      <c r="D11" s="8">
        <v>2172</v>
      </c>
      <c r="E11" s="8">
        <v>706</v>
      </c>
      <c r="F11" s="8">
        <v>1534</v>
      </c>
      <c r="G11" s="8">
        <v>4291</v>
      </c>
      <c r="H11" s="8">
        <v>278</v>
      </c>
      <c r="I11" s="8">
        <v>249</v>
      </c>
      <c r="J11" s="8">
        <v>0</v>
      </c>
      <c r="K11" s="8">
        <v>0</v>
      </c>
      <c r="L11" s="8">
        <v>0</v>
      </c>
      <c r="M11" s="8">
        <v>143</v>
      </c>
      <c r="N11" s="8">
        <v>646</v>
      </c>
      <c r="O11" s="8">
        <v>1414</v>
      </c>
      <c r="P11" s="8">
        <v>14285</v>
      </c>
      <c r="Q11" s="4">
        <f t="shared" si="0"/>
        <v>47129</v>
      </c>
      <c r="R11" s="4">
        <f t="shared" si="1"/>
        <v>30784</v>
      </c>
      <c r="S11" s="4">
        <f t="shared" si="2"/>
        <v>30784</v>
      </c>
      <c r="T11" s="5">
        <f t="shared" ref="T11:T14" si="4">(S11-R11)/S11</f>
        <v>0</v>
      </c>
      <c r="U11" s="5">
        <f t="shared" si="3"/>
        <v>0.30310424579346051</v>
      </c>
    </row>
    <row r="12" spans="1:21" x14ac:dyDescent="0.2">
      <c r="A12" s="3" t="s">
        <v>18</v>
      </c>
      <c r="B12" s="8">
        <v>23427</v>
      </c>
      <c r="C12" s="8">
        <v>18249</v>
      </c>
      <c r="D12" s="8">
        <v>6490</v>
      </c>
      <c r="E12" s="8">
        <v>2466</v>
      </c>
      <c r="F12" s="8">
        <v>3464</v>
      </c>
      <c r="G12" s="8">
        <v>4492</v>
      </c>
      <c r="H12" s="8">
        <v>682</v>
      </c>
      <c r="I12" s="8">
        <v>836</v>
      </c>
      <c r="J12" s="8">
        <v>0</v>
      </c>
      <c r="K12" s="8">
        <v>292</v>
      </c>
      <c r="L12" s="8">
        <v>482</v>
      </c>
      <c r="M12" s="8">
        <v>346</v>
      </c>
      <c r="N12" s="8">
        <v>1603</v>
      </c>
      <c r="O12" s="8">
        <v>2559</v>
      </c>
      <c r="P12" s="8">
        <v>23108</v>
      </c>
      <c r="Q12" s="4">
        <f t="shared" si="0"/>
        <v>88496</v>
      </c>
      <c r="R12" s="4">
        <f t="shared" si="1"/>
        <v>61226</v>
      </c>
      <c r="S12" s="4">
        <f t="shared" si="2"/>
        <v>61226</v>
      </c>
      <c r="T12" s="5">
        <f>(S12-R12)/S12</f>
        <v>0</v>
      </c>
      <c r="U12" s="5">
        <f>P12/Q12</f>
        <v>0.26111914662809621</v>
      </c>
    </row>
    <row r="13" spans="1:21" x14ac:dyDescent="0.2">
      <c r="A13" s="3" t="s">
        <v>19</v>
      </c>
      <c r="B13" s="8">
        <v>109990</v>
      </c>
      <c r="C13" s="8">
        <v>64160</v>
      </c>
      <c r="D13" s="9">
        <v>23855</v>
      </c>
      <c r="E13" s="9">
        <v>27601</v>
      </c>
      <c r="F13" s="9">
        <v>15253</v>
      </c>
      <c r="G13" s="9">
        <v>11846</v>
      </c>
      <c r="H13" s="9">
        <v>7749</v>
      </c>
      <c r="I13" s="9">
        <v>4606</v>
      </c>
      <c r="J13" s="9">
        <v>0</v>
      </c>
      <c r="K13" s="9">
        <v>3930</v>
      </c>
      <c r="L13" s="9">
        <v>3966</v>
      </c>
      <c r="M13" s="9">
        <v>1618</v>
      </c>
      <c r="N13" s="8">
        <v>4278</v>
      </c>
      <c r="O13" s="8">
        <v>6606</v>
      </c>
      <c r="P13" s="8">
        <v>69607</v>
      </c>
      <c r="Q13" s="4">
        <f t="shared" si="0"/>
        <v>355065</v>
      </c>
      <c r="R13" s="4">
        <f t="shared" si="1"/>
        <v>274574</v>
      </c>
      <c r="S13" s="4">
        <f t="shared" si="2"/>
        <v>274574</v>
      </c>
      <c r="T13" s="5">
        <f t="shared" si="4"/>
        <v>0</v>
      </c>
      <c r="U13" s="5">
        <f>P13/Q13</f>
        <v>0.19604016166054103</v>
      </c>
    </row>
    <row r="14" spans="1:21" x14ac:dyDescent="0.2">
      <c r="A14" s="3" t="s">
        <v>20</v>
      </c>
      <c r="B14" s="4">
        <f t="shared" ref="B14:N14" si="5">SUM(B7:B13)</f>
        <v>271867</v>
      </c>
      <c r="C14" s="4">
        <f t="shared" si="5"/>
        <v>164323</v>
      </c>
      <c r="D14" s="4">
        <f t="shared" si="5"/>
        <v>66222</v>
      </c>
      <c r="E14" s="4">
        <f t="shared" si="5"/>
        <v>51082</v>
      </c>
      <c r="F14" s="4">
        <f t="shared" si="5"/>
        <v>32475</v>
      </c>
      <c r="G14" s="4">
        <f t="shared" si="5"/>
        <v>29310</v>
      </c>
      <c r="H14" s="4">
        <f t="shared" si="5"/>
        <v>14161</v>
      </c>
      <c r="I14" s="17">
        <f t="shared" si="5"/>
        <v>13688</v>
      </c>
      <c r="J14" s="4">
        <f t="shared" si="5"/>
        <v>8074</v>
      </c>
      <c r="K14" s="4">
        <f t="shared" si="5"/>
        <v>6032</v>
      </c>
      <c r="L14" s="4">
        <f t="shared" si="5"/>
        <v>4448</v>
      </c>
      <c r="M14" s="4">
        <f t="shared" si="5"/>
        <v>3282</v>
      </c>
      <c r="N14" s="4">
        <f t="shared" si="5"/>
        <v>12967</v>
      </c>
      <c r="O14" s="4">
        <f t="shared" ref="O14" si="6">SUM(O7:O13)</f>
        <v>21111</v>
      </c>
      <c r="P14" s="4">
        <f>SUM(P7:P13)</f>
        <v>175999</v>
      </c>
      <c r="Q14" s="4">
        <f>SUM(Q7:Q13)</f>
        <v>875041</v>
      </c>
      <c r="R14" s="4">
        <f>SUM(R7:R13)</f>
        <v>664964</v>
      </c>
      <c r="S14" s="4">
        <f>SUM(S7:S13)</f>
        <v>664964</v>
      </c>
      <c r="T14" s="5">
        <f t="shared" si="4"/>
        <v>0</v>
      </c>
      <c r="U14" s="5">
        <f>P14/Q14</f>
        <v>0.20113228980127787</v>
      </c>
    </row>
    <row r="15" spans="1:21" x14ac:dyDescent="0.2">
      <c r="A15" s="3" t="s">
        <v>21</v>
      </c>
      <c r="B15" s="5">
        <f>B14/$R$14</f>
        <v>0.40884468933656559</v>
      </c>
      <c r="C15" s="5">
        <f>C14/$R$14</f>
        <v>0.24711563332751849</v>
      </c>
      <c r="D15" s="5">
        <f>D14/$R$14</f>
        <v>9.9587346081893152E-2</v>
      </c>
      <c r="E15" s="5">
        <f t="shared" ref="E15:L15" si="7">E14/$R$14</f>
        <v>7.6819196227164183E-2</v>
      </c>
      <c r="F15" s="5">
        <f t="shared" si="7"/>
        <v>4.8837230286150828E-2</v>
      </c>
      <c r="G15" s="5">
        <f t="shared" si="7"/>
        <v>4.4077574124313498E-2</v>
      </c>
      <c r="H15" s="5">
        <f t="shared" si="7"/>
        <v>2.1295889702299672E-2</v>
      </c>
      <c r="I15" s="5">
        <f t="shared" si="7"/>
        <v>2.0584572999440571E-2</v>
      </c>
      <c r="J15" s="5">
        <f>J14/$R$14</f>
        <v>1.2142010695315836E-2</v>
      </c>
      <c r="K15" s="5">
        <f t="shared" si="7"/>
        <v>9.0711677624653372E-3</v>
      </c>
      <c r="L15" s="5">
        <f t="shared" si="7"/>
        <v>6.6890839203325291E-3</v>
      </c>
      <c r="M15" s="5">
        <f>M14/$R$14</f>
        <v>4.9356055365403243E-3</v>
      </c>
      <c r="N15" s="11"/>
    </row>
    <row r="16" spans="1:21" x14ac:dyDescent="0.2">
      <c r="A16" s="3" t="s">
        <v>22</v>
      </c>
      <c r="B16" s="5">
        <v>0.43440000000000001</v>
      </c>
      <c r="C16" s="5">
        <v>0.30399999999999999</v>
      </c>
      <c r="D16" s="5">
        <v>0.10879999999999999</v>
      </c>
      <c r="E16" s="12">
        <v>9.1200000000000003E-2</v>
      </c>
      <c r="F16" s="12">
        <v>0</v>
      </c>
      <c r="G16" s="12">
        <v>2.3699999999999999E-2</v>
      </c>
      <c r="H16" s="12">
        <v>2.7799999999999998E-2</v>
      </c>
      <c r="I16" s="12">
        <v>5.1000000000000004E-3</v>
      </c>
      <c r="J16" s="12">
        <v>0</v>
      </c>
      <c r="K16" s="12">
        <v>5.0000000000000001E-3</v>
      </c>
      <c r="L16" s="12">
        <v>0</v>
      </c>
      <c r="M16" s="12"/>
      <c r="N16" s="11"/>
    </row>
    <row r="17" spans="1:14" s="2" customFormat="1" x14ac:dyDescent="0.2">
      <c r="A17" s="3" t="s">
        <v>23</v>
      </c>
      <c r="B17" s="7" t="str">
        <f>B6</f>
        <v>LIBERACIÓN NACIONAL</v>
      </c>
      <c r="C17" s="7" t="str">
        <f>C6</f>
        <v>UNIFICACIÓN NACIONAL</v>
      </c>
      <c r="D17" s="7" t="str">
        <f>D6</f>
        <v>NACIONAL INDEPENDIENTE</v>
      </c>
      <c r="E17" s="7" t="str">
        <f t="shared" ref="E17:M17" si="8">E6</f>
        <v>RENOVACIÓN DEMOCRÁTICA</v>
      </c>
      <c r="F17" s="7" t="str">
        <f t="shared" si="8"/>
        <v>REPUBLICANO NACIONAL</v>
      </c>
      <c r="G17" s="7" t="str">
        <f t="shared" si="8"/>
        <v>ACCIÓN SOCIALISTA</v>
      </c>
      <c r="H17" s="7" t="str">
        <f t="shared" si="8"/>
        <v>DEMÓCRATA</v>
      </c>
      <c r="I17" s="7" t="str">
        <f t="shared" si="8"/>
        <v>DEMÓCRATA CRiSTIANO</v>
      </c>
      <c r="J17" s="7" t="str">
        <f t="shared" si="8"/>
        <v>UNIÓN AGRÍCOLA CARTAGINÉS</v>
      </c>
      <c r="K17" s="7" t="str">
        <f t="shared" si="8"/>
        <v>SOCIALISTA COSTARRICENSE</v>
      </c>
      <c r="L17" s="7" t="str">
        <f t="shared" si="8"/>
        <v>FRENTE POPULAR COSTARRICENSE</v>
      </c>
      <c r="M17" s="14" t="str">
        <f t="shared" si="8"/>
        <v>INDEPENDIENTE</v>
      </c>
      <c r="N17" s="13" t="s">
        <v>24</v>
      </c>
    </row>
    <row r="18" spans="1:14" x14ac:dyDescent="0.2">
      <c r="A18" s="3" t="s">
        <v>13</v>
      </c>
      <c r="B18" s="8">
        <v>5</v>
      </c>
      <c r="C18" s="8">
        <v>3</v>
      </c>
      <c r="D18" s="8">
        <v>1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15">
        <f t="shared" ref="N18:N24" si="9">SUM(B18:M18)</f>
        <v>10</v>
      </c>
    </row>
    <row r="19" spans="1:14" x14ac:dyDescent="0.2">
      <c r="A19" s="3" t="s">
        <v>14</v>
      </c>
      <c r="B19" s="8">
        <v>3</v>
      </c>
      <c r="C19" s="8">
        <v>2</v>
      </c>
      <c r="D19" s="9">
        <v>1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1</v>
      </c>
      <c r="K19" s="9">
        <v>0</v>
      </c>
      <c r="L19" s="9">
        <v>0</v>
      </c>
      <c r="M19" s="9">
        <v>0</v>
      </c>
      <c r="N19" s="4">
        <f t="shared" si="9"/>
        <v>7</v>
      </c>
    </row>
    <row r="20" spans="1:14" x14ac:dyDescent="0.2">
      <c r="A20" s="3" t="s">
        <v>15</v>
      </c>
      <c r="B20" s="9">
        <v>3</v>
      </c>
      <c r="C20" s="8">
        <v>2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4">
        <f t="shared" si="9"/>
        <v>6</v>
      </c>
    </row>
    <row r="21" spans="1:14" x14ac:dyDescent="0.2">
      <c r="A21" s="3" t="s">
        <v>16</v>
      </c>
      <c r="B21" s="8">
        <v>2</v>
      </c>
      <c r="C21" s="8">
        <v>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4">
        <f t="shared" si="9"/>
        <v>3</v>
      </c>
    </row>
    <row r="22" spans="1:14" x14ac:dyDescent="0.2">
      <c r="A22" s="3" t="s">
        <v>17</v>
      </c>
      <c r="B22" s="8">
        <v>2</v>
      </c>
      <c r="C22" s="8">
        <v>1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4">
        <f t="shared" si="9"/>
        <v>3</v>
      </c>
    </row>
    <row r="23" spans="1:14" x14ac:dyDescent="0.2">
      <c r="A23" s="3" t="s">
        <v>18</v>
      </c>
      <c r="B23" s="8">
        <v>3</v>
      </c>
      <c r="C23" s="8">
        <v>2</v>
      </c>
      <c r="D23" s="8">
        <v>1</v>
      </c>
      <c r="E23" s="8">
        <v>0</v>
      </c>
      <c r="F23" s="8">
        <v>0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4">
        <f t="shared" si="9"/>
        <v>7</v>
      </c>
    </row>
    <row r="24" spans="1:14" x14ac:dyDescent="0.2">
      <c r="A24" s="3" t="s">
        <v>19</v>
      </c>
      <c r="B24" s="8">
        <v>9</v>
      </c>
      <c r="C24" s="8">
        <v>5</v>
      </c>
      <c r="D24" s="8">
        <v>2</v>
      </c>
      <c r="E24" s="8">
        <v>2</v>
      </c>
      <c r="F24" s="8">
        <v>1</v>
      </c>
      <c r="G24" s="8">
        <v>1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4">
        <f t="shared" si="9"/>
        <v>21</v>
      </c>
    </row>
    <row r="25" spans="1:14" x14ac:dyDescent="0.2">
      <c r="A25" s="3"/>
      <c r="B25" s="4">
        <f t="shared" ref="B25:N25" si="10">SUM(B18:B24)</f>
        <v>27</v>
      </c>
      <c r="C25" s="4">
        <f t="shared" si="10"/>
        <v>16</v>
      </c>
      <c r="D25" s="4">
        <f t="shared" si="10"/>
        <v>6</v>
      </c>
      <c r="E25" s="4">
        <f t="shared" si="10"/>
        <v>3</v>
      </c>
      <c r="F25" s="4">
        <f t="shared" si="10"/>
        <v>1</v>
      </c>
      <c r="G25" s="4">
        <f t="shared" si="10"/>
        <v>2</v>
      </c>
      <c r="H25" s="4">
        <f t="shared" si="10"/>
        <v>1</v>
      </c>
      <c r="I25" s="4">
        <f t="shared" si="10"/>
        <v>0</v>
      </c>
      <c r="J25" s="4">
        <f t="shared" si="10"/>
        <v>1</v>
      </c>
      <c r="K25" s="4">
        <f t="shared" si="10"/>
        <v>0</v>
      </c>
      <c r="L25" s="4">
        <f t="shared" si="10"/>
        <v>0</v>
      </c>
      <c r="M25" s="4">
        <f t="shared" si="10"/>
        <v>0</v>
      </c>
      <c r="N25" s="4">
        <f t="shared" si="10"/>
        <v>57</v>
      </c>
    </row>
  </sheetData>
  <mergeCells count="1">
    <mergeCell ref="A5:U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X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16" width="39.6640625" style="1" customWidth="1"/>
    <col min="17" max="17" width="24.6640625" style="1" customWidth="1"/>
    <col min="18" max="20" width="18.6640625" style="1" customWidth="1"/>
    <col min="21" max="21" width="16.6640625" style="1" customWidth="1"/>
    <col min="22" max="22" width="19" style="1" customWidth="1"/>
    <col min="23" max="23" width="17.6640625" style="1" customWidth="1"/>
    <col min="24" max="24" width="23.1640625" style="1" customWidth="1"/>
    <col min="25" max="16384" width="10.6640625" style="1"/>
  </cols>
  <sheetData>
    <row r="5" spans="1:24" ht="24" x14ac:dyDescent="0.3">
      <c r="A5" s="29">
        <v>1978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1"/>
    </row>
    <row r="6" spans="1:24" s="2" customFormat="1" x14ac:dyDescent="0.2">
      <c r="A6" s="3" t="s">
        <v>0</v>
      </c>
      <c r="B6" s="7" t="s">
        <v>55</v>
      </c>
      <c r="C6" s="7" t="s">
        <v>1</v>
      </c>
      <c r="D6" s="7" t="s">
        <v>56</v>
      </c>
      <c r="E6" s="7" t="s">
        <v>41</v>
      </c>
      <c r="F6" s="7" t="s">
        <v>54</v>
      </c>
      <c r="G6" s="7" t="s">
        <v>57</v>
      </c>
      <c r="H6" s="7" t="s">
        <v>48</v>
      </c>
      <c r="I6" s="7" t="s">
        <v>50</v>
      </c>
      <c r="J6" s="7" t="s">
        <v>26</v>
      </c>
      <c r="K6" s="7" t="s">
        <v>58</v>
      </c>
      <c r="L6" s="7" t="s">
        <v>2</v>
      </c>
      <c r="M6" s="7" t="s">
        <v>59</v>
      </c>
      <c r="N6" s="7" t="s">
        <v>60</v>
      </c>
      <c r="O6" s="7" t="s">
        <v>61</v>
      </c>
      <c r="P6" s="7" t="s">
        <v>62</v>
      </c>
      <c r="Q6" s="3" t="s">
        <v>5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10</v>
      </c>
      <c r="W6" s="3" t="s">
        <v>11</v>
      </c>
      <c r="X6" s="3" t="s">
        <v>12</v>
      </c>
    </row>
    <row r="7" spans="1:24" x14ac:dyDescent="0.2">
      <c r="A7" s="3" t="s">
        <v>13</v>
      </c>
      <c r="B7" s="8">
        <v>67698</v>
      </c>
      <c r="C7" s="8">
        <v>62835</v>
      </c>
      <c r="D7" s="8">
        <v>6217</v>
      </c>
      <c r="E7" s="8">
        <v>6251</v>
      </c>
      <c r="F7" s="8">
        <v>0</v>
      </c>
      <c r="G7" s="8">
        <v>1056</v>
      </c>
      <c r="H7" s="8">
        <v>0</v>
      </c>
      <c r="I7" s="8">
        <v>798</v>
      </c>
      <c r="J7" s="8">
        <v>565</v>
      </c>
      <c r="K7" s="8">
        <v>0</v>
      </c>
      <c r="L7" s="8">
        <v>466</v>
      </c>
      <c r="M7" s="8">
        <v>0</v>
      </c>
      <c r="N7" s="8">
        <v>440</v>
      </c>
      <c r="O7" s="8">
        <v>0</v>
      </c>
      <c r="P7" s="8">
        <v>314</v>
      </c>
      <c r="Q7" s="8">
        <v>2467</v>
      </c>
      <c r="R7" s="8">
        <v>3580</v>
      </c>
      <c r="S7" s="8">
        <v>27501</v>
      </c>
      <c r="T7" s="4">
        <f t="shared" ref="T7:T13" si="0">SUM(B7:S7)</f>
        <v>180188</v>
      </c>
      <c r="U7" s="4">
        <f>SUM(B7:P7)</f>
        <v>146640</v>
      </c>
      <c r="V7" s="4">
        <f t="shared" ref="V7:V13" si="1">SUM(B7:R7)</f>
        <v>152687</v>
      </c>
      <c r="W7" s="5">
        <f>(V7-U7)/V7</f>
        <v>3.9603895551029229E-2</v>
      </c>
      <c r="X7" s="5">
        <f>S7/T7</f>
        <v>0.15262392612160633</v>
      </c>
    </row>
    <row r="8" spans="1:24" x14ac:dyDescent="0.2">
      <c r="A8" s="3" t="s">
        <v>14</v>
      </c>
      <c r="B8" s="8">
        <v>31960</v>
      </c>
      <c r="C8" s="8">
        <v>34111</v>
      </c>
      <c r="D8" s="8">
        <v>4831</v>
      </c>
      <c r="E8" s="8">
        <v>3064</v>
      </c>
      <c r="F8" s="8">
        <v>0</v>
      </c>
      <c r="G8" s="8">
        <v>1659</v>
      </c>
      <c r="H8" s="8">
        <v>7887</v>
      </c>
      <c r="I8" s="8">
        <v>1130</v>
      </c>
      <c r="J8" s="8">
        <v>970</v>
      </c>
      <c r="K8" s="8">
        <v>0</v>
      </c>
      <c r="L8" s="8">
        <v>547</v>
      </c>
      <c r="M8" s="8">
        <v>0</v>
      </c>
      <c r="N8" s="8">
        <v>851</v>
      </c>
      <c r="O8" s="8">
        <v>0</v>
      </c>
      <c r="P8" s="8">
        <v>0</v>
      </c>
      <c r="Q8" s="8">
        <v>1573</v>
      </c>
      <c r="R8" s="8">
        <v>3822</v>
      </c>
      <c r="S8" s="8">
        <v>19837</v>
      </c>
      <c r="T8" s="4">
        <f t="shared" si="0"/>
        <v>112242</v>
      </c>
      <c r="U8" s="4">
        <f t="shared" ref="U8:U13" si="2">SUM(B8:P8)</f>
        <v>87010</v>
      </c>
      <c r="V8" s="4">
        <f t="shared" si="1"/>
        <v>92405</v>
      </c>
      <c r="W8" s="5">
        <f>(V8-U8)/V8</f>
        <v>5.8384286564579842E-2</v>
      </c>
      <c r="X8" s="5">
        <f>S8/T8</f>
        <v>0.17673419931932788</v>
      </c>
    </row>
    <row r="9" spans="1:24" x14ac:dyDescent="0.2">
      <c r="A9" s="3" t="s">
        <v>15</v>
      </c>
      <c r="B9" s="8">
        <v>31801</v>
      </c>
      <c r="C9" s="8">
        <v>30078</v>
      </c>
      <c r="D9" s="8">
        <v>2933</v>
      </c>
      <c r="E9" s="8">
        <v>2897</v>
      </c>
      <c r="F9" s="8">
        <v>0</v>
      </c>
      <c r="G9" s="8">
        <v>938</v>
      </c>
      <c r="H9" s="8">
        <v>0</v>
      </c>
      <c r="I9" s="8">
        <v>472</v>
      </c>
      <c r="J9" s="8">
        <v>399</v>
      </c>
      <c r="K9" s="8">
        <v>0</v>
      </c>
      <c r="L9" s="8">
        <v>204</v>
      </c>
      <c r="M9" s="8" t="s">
        <v>63</v>
      </c>
      <c r="N9" s="8">
        <v>0</v>
      </c>
      <c r="O9" s="8">
        <v>0</v>
      </c>
      <c r="P9" s="8">
        <v>169</v>
      </c>
      <c r="Q9" s="8">
        <v>1197</v>
      </c>
      <c r="R9" s="8">
        <v>2937</v>
      </c>
      <c r="S9" s="8">
        <v>14426</v>
      </c>
      <c r="T9" s="4">
        <f t="shared" si="0"/>
        <v>88451</v>
      </c>
      <c r="U9" s="4">
        <f t="shared" si="2"/>
        <v>69891</v>
      </c>
      <c r="V9" s="4">
        <f t="shared" si="1"/>
        <v>74025</v>
      </c>
      <c r="W9" s="5">
        <f>(V9-U9)/V9</f>
        <v>5.5845997973657545E-2</v>
      </c>
      <c r="X9" s="5">
        <f>S9/T9</f>
        <v>0.16309595143073566</v>
      </c>
    </row>
    <row r="10" spans="1:24" x14ac:dyDescent="0.2">
      <c r="A10" s="3" t="s">
        <v>16</v>
      </c>
      <c r="B10" s="8">
        <v>29772</v>
      </c>
      <c r="C10" s="8">
        <v>27002</v>
      </c>
      <c r="D10" s="8">
        <v>6339</v>
      </c>
      <c r="E10" s="8">
        <v>1478</v>
      </c>
      <c r="F10" s="8">
        <v>0</v>
      </c>
      <c r="G10" s="8">
        <v>341</v>
      </c>
      <c r="H10" s="8">
        <v>0</v>
      </c>
      <c r="I10" s="8">
        <v>451</v>
      </c>
      <c r="J10" s="8">
        <v>497</v>
      </c>
      <c r="K10" s="8">
        <v>0</v>
      </c>
      <c r="L10" s="8">
        <v>149</v>
      </c>
      <c r="M10" s="8">
        <v>0</v>
      </c>
      <c r="N10" s="8">
        <v>513</v>
      </c>
      <c r="O10" s="8">
        <v>0</v>
      </c>
      <c r="P10" s="8">
        <v>127</v>
      </c>
      <c r="Q10" s="8">
        <v>993</v>
      </c>
      <c r="R10" s="8">
        <v>1425</v>
      </c>
      <c r="S10" s="8">
        <v>12933</v>
      </c>
      <c r="T10" s="4">
        <f t="shared" si="0"/>
        <v>82020</v>
      </c>
      <c r="U10" s="4">
        <f t="shared" si="2"/>
        <v>66669</v>
      </c>
      <c r="V10" s="4">
        <f t="shared" si="1"/>
        <v>69087</v>
      </c>
      <c r="W10" s="5">
        <f>(V10-U10)/V10</f>
        <v>3.4999348647357681E-2</v>
      </c>
      <c r="X10" s="5">
        <f t="shared" ref="X10:X11" si="3">S10/T10</f>
        <v>0.15768105340160937</v>
      </c>
    </row>
    <row r="11" spans="1:24" x14ac:dyDescent="0.2">
      <c r="A11" s="3" t="s">
        <v>17</v>
      </c>
      <c r="B11" s="8">
        <v>14610</v>
      </c>
      <c r="C11" s="8">
        <v>11436</v>
      </c>
      <c r="D11" s="8">
        <v>4545</v>
      </c>
      <c r="E11" s="8">
        <v>1692</v>
      </c>
      <c r="F11" s="8">
        <v>0</v>
      </c>
      <c r="G11" s="8">
        <v>791</v>
      </c>
      <c r="H11" s="8">
        <v>0</v>
      </c>
      <c r="I11" s="8">
        <v>1228</v>
      </c>
      <c r="J11" s="8">
        <v>341</v>
      </c>
      <c r="K11" s="8">
        <v>0</v>
      </c>
      <c r="L11" s="8">
        <v>201</v>
      </c>
      <c r="M11" s="8">
        <v>2954</v>
      </c>
      <c r="N11" s="8">
        <v>0</v>
      </c>
      <c r="O11" s="8">
        <v>0</v>
      </c>
      <c r="P11" s="8">
        <v>0</v>
      </c>
      <c r="Q11" s="8">
        <v>769</v>
      </c>
      <c r="R11" s="8">
        <v>2221</v>
      </c>
      <c r="S11" s="8">
        <v>17654</v>
      </c>
      <c r="T11" s="4">
        <f t="shared" si="0"/>
        <v>58442</v>
      </c>
      <c r="U11" s="4">
        <f t="shared" si="2"/>
        <v>37798</v>
      </c>
      <c r="V11" s="4">
        <f t="shared" si="1"/>
        <v>40788</v>
      </c>
      <c r="W11" s="5">
        <f t="shared" ref="W11:W14" si="4">(V11-U11)/V11</f>
        <v>7.3305874276748062E-2</v>
      </c>
      <c r="X11" s="5">
        <f t="shared" si="3"/>
        <v>0.30207727319393585</v>
      </c>
    </row>
    <row r="12" spans="1:24" x14ac:dyDescent="0.2">
      <c r="A12" s="3" t="s">
        <v>18</v>
      </c>
      <c r="B12" s="8">
        <v>29899</v>
      </c>
      <c r="C12" s="8">
        <v>28881</v>
      </c>
      <c r="D12" s="8">
        <v>6698</v>
      </c>
      <c r="E12" s="8">
        <v>3222</v>
      </c>
      <c r="F12" s="8">
        <v>2285</v>
      </c>
      <c r="G12" s="8">
        <v>883</v>
      </c>
      <c r="H12" s="8">
        <v>0</v>
      </c>
      <c r="I12" s="8">
        <v>791</v>
      </c>
      <c r="J12" s="8">
        <v>708</v>
      </c>
      <c r="K12" s="8">
        <v>0</v>
      </c>
      <c r="L12" s="8">
        <v>305</v>
      </c>
      <c r="M12" s="8">
        <v>0</v>
      </c>
      <c r="N12" s="8">
        <v>0</v>
      </c>
      <c r="O12" s="8">
        <v>1729</v>
      </c>
      <c r="P12" s="8">
        <v>0</v>
      </c>
      <c r="Q12" s="8">
        <v>1711</v>
      </c>
      <c r="R12" s="8">
        <v>3751</v>
      </c>
      <c r="S12" s="8">
        <v>25840</v>
      </c>
      <c r="T12" s="4">
        <f t="shared" si="0"/>
        <v>106703</v>
      </c>
      <c r="U12" s="4">
        <f t="shared" si="2"/>
        <v>75401</v>
      </c>
      <c r="V12" s="4">
        <f t="shared" si="1"/>
        <v>80863</v>
      </c>
      <c r="W12" s="5">
        <f>(V12-U12)/V12</f>
        <v>6.7546343816084001E-2</v>
      </c>
      <c r="X12" s="5">
        <f>S12/T12</f>
        <v>0.24216751169133013</v>
      </c>
    </row>
    <row r="13" spans="1:24" x14ac:dyDescent="0.2">
      <c r="A13" s="3" t="s">
        <v>19</v>
      </c>
      <c r="B13" s="8">
        <v>150475</v>
      </c>
      <c r="C13" s="8">
        <v>124561</v>
      </c>
      <c r="D13" s="9">
        <v>31302</v>
      </c>
      <c r="E13" s="9">
        <v>7220</v>
      </c>
      <c r="F13" s="9">
        <v>10549</v>
      </c>
      <c r="G13" s="9">
        <v>2547</v>
      </c>
      <c r="H13" s="9">
        <v>0</v>
      </c>
      <c r="I13" s="9">
        <v>1803</v>
      </c>
      <c r="J13" s="9">
        <v>2294</v>
      </c>
      <c r="K13" s="9">
        <v>4059</v>
      </c>
      <c r="L13" s="9">
        <v>1211</v>
      </c>
      <c r="M13" s="9">
        <v>0</v>
      </c>
      <c r="N13" s="9">
        <v>738</v>
      </c>
      <c r="O13" s="9">
        <v>0</v>
      </c>
      <c r="P13" s="9">
        <v>392</v>
      </c>
      <c r="Q13" s="8">
        <v>4887</v>
      </c>
      <c r="R13" s="8">
        <v>7995</v>
      </c>
      <c r="S13" s="8">
        <v>80367</v>
      </c>
      <c r="T13" s="4">
        <f t="shared" si="0"/>
        <v>430400</v>
      </c>
      <c r="U13" s="4">
        <f t="shared" si="2"/>
        <v>337151</v>
      </c>
      <c r="V13" s="4">
        <f t="shared" si="1"/>
        <v>350033</v>
      </c>
      <c r="W13" s="5">
        <f t="shared" si="4"/>
        <v>3.68022443598175E-2</v>
      </c>
      <c r="X13" s="5">
        <f>S13/T13</f>
        <v>0.18672630111524163</v>
      </c>
    </row>
    <row r="14" spans="1:24" x14ac:dyDescent="0.2">
      <c r="A14" s="3" t="s">
        <v>20</v>
      </c>
      <c r="B14" s="4">
        <f>SUM(B7:B13)</f>
        <v>356215</v>
      </c>
      <c r="C14" s="4">
        <f>SUM(C7:C13)</f>
        <v>318904</v>
      </c>
      <c r="D14" s="4">
        <f>SUM(D7:D13)</f>
        <v>62865</v>
      </c>
      <c r="E14" s="4">
        <f t="shared" ref="E14:L14" si="5">SUM(E7:E13)</f>
        <v>25824</v>
      </c>
      <c r="F14" s="4">
        <f t="shared" si="5"/>
        <v>12834</v>
      </c>
      <c r="G14" s="4">
        <f t="shared" si="5"/>
        <v>8215</v>
      </c>
      <c r="H14" s="4">
        <f t="shared" si="5"/>
        <v>7887</v>
      </c>
      <c r="I14" s="17">
        <f>SUM(I7:I13)</f>
        <v>6673</v>
      </c>
      <c r="J14" s="4">
        <f t="shared" si="5"/>
        <v>5774</v>
      </c>
      <c r="K14" s="4">
        <f t="shared" si="5"/>
        <v>4059</v>
      </c>
      <c r="L14" s="4">
        <f t="shared" si="5"/>
        <v>3083</v>
      </c>
      <c r="M14" s="4">
        <f>SUM(M7:M13)</f>
        <v>2954</v>
      </c>
      <c r="N14" s="4">
        <f>SUM(N7:N13)</f>
        <v>2542</v>
      </c>
      <c r="O14" s="4">
        <f>SUM(N7:N13)</f>
        <v>2542</v>
      </c>
      <c r="P14" s="4">
        <f>SUM(O7:O13)</f>
        <v>1729</v>
      </c>
      <c r="Q14" s="4">
        <f>SUM(Q7:Q13)</f>
        <v>13597</v>
      </c>
      <c r="R14" s="4">
        <f t="shared" ref="R14" si="6">SUM(R7:R13)</f>
        <v>25731</v>
      </c>
      <c r="S14" s="4">
        <f>SUM(S7:S13)</f>
        <v>198558</v>
      </c>
      <c r="T14" s="4">
        <f>SUM(T7:T13)</f>
        <v>1058446</v>
      </c>
      <c r="U14" s="4">
        <f>SUM(U7:U13)</f>
        <v>820560</v>
      </c>
      <c r="V14" s="4">
        <f>SUM(V7:V13)</f>
        <v>859888</v>
      </c>
      <c r="W14" s="5">
        <f t="shared" si="4"/>
        <v>4.5736188899019405E-2</v>
      </c>
      <c r="X14" s="5">
        <f>S14/T14</f>
        <v>0.18759388764282731</v>
      </c>
    </row>
    <row r="15" spans="1:24" x14ac:dyDescent="0.2">
      <c r="A15" s="3" t="s">
        <v>21</v>
      </c>
      <c r="B15" s="5">
        <f>B14/$U$14</f>
        <v>0.43411206980598616</v>
      </c>
      <c r="C15" s="5">
        <f>C14/$U$14</f>
        <v>0.38864190309057228</v>
      </c>
      <c r="D15" s="5">
        <f>D14/$U$14</f>
        <v>7.661231354197133E-2</v>
      </c>
      <c r="E15" s="5">
        <f t="shared" ref="E15:L15" si="7">E14/$U$14</f>
        <v>3.1471190406551622E-2</v>
      </c>
      <c r="F15" s="5">
        <f t="shared" si="7"/>
        <v>1.5640538169055279E-2</v>
      </c>
      <c r="G15" s="5">
        <f t="shared" si="7"/>
        <v>1.00114555913035E-2</v>
      </c>
      <c r="H15" s="5">
        <f t="shared" si="7"/>
        <v>9.6117285756069024E-3</v>
      </c>
      <c r="I15" s="5">
        <f t="shared" si="7"/>
        <v>8.1322511455591308E-3</v>
      </c>
      <c r="J15" s="5">
        <f t="shared" si="7"/>
        <v>7.0366578921711997E-3</v>
      </c>
      <c r="K15" s="5">
        <f t="shared" si="7"/>
        <v>4.9466218192453938E-3</v>
      </c>
      <c r="L15" s="5">
        <f t="shared" si="7"/>
        <v>3.7571902115628351E-3</v>
      </c>
      <c r="M15" s="5">
        <f>N14/$U$14</f>
        <v>3.0978843716486302E-3</v>
      </c>
      <c r="N15" s="5">
        <f>O14/$U$14</f>
        <v>3.0978843716486302E-3</v>
      </c>
      <c r="O15" s="5">
        <f>P14/$U$14</f>
        <v>2.1070975918884662E-3</v>
      </c>
      <c r="P15" s="5">
        <f>Q14/$U$14</f>
        <v>1.657039095252023E-2</v>
      </c>
      <c r="Q15" s="11"/>
    </row>
    <row r="16" spans="1:24" x14ac:dyDescent="0.2">
      <c r="A16" s="3" t="s">
        <v>22</v>
      </c>
      <c r="B16" s="5">
        <v>0.50509999999999999</v>
      </c>
      <c r="C16" s="5">
        <v>0.43830000000000002</v>
      </c>
      <c r="D16" s="5">
        <v>2.7400000000000001E-2</v>
      </c>
      <c r="E16" s="12">
        <v>1.6400000000000001E-2</v>
      </c>
      <c r="F16" s="12">
        <v>0</v>
      </c>
      <c r="G16" s="12">
        <v>0</v>
      </c>
      <c r="H16" s="12">
        <v>0</v>
      </c>
      <c r="I16" s="12">
        <v>4.0000000000000001E-3</v>
      </c>
      <c r="J16" s="12">
        <v>4.5999999999999999E-3</v>
      </c>
      <c r="K16" s="12">
        <v>2.2000000000000001E-3</v>
      </c>
      <c r="L16" s="12">
        <v>1.9E-3</v>
      </c>
      <c r="M16" s="12">
        <v>0</v>
      </c>
      <c r="N16" s="12">
        <v>0</v>
      </c>
      <c r="O16" s="12">
        <v>0</v>
      </c>
      <c r="P16" s="12">
        <v>0</v>
      </c>
      <c r="Q16" s="11"/>
    </row>
    <row r="17" spans="1:17" s="2" customFormat="1" x14ac:dyDescent="0.2">
      <c r="A17" s="3" t="s">
        <v>23</v>
      </c>
      <c r="B17" s="7" t="str">
        <f>B6</f>
        <v>COALICIÓN UNIDAD</v>
      </c>
      <c r="C17" s="7" t="str">
        <f>C6</f>
        <v>LIBERACIÓN NACIONAL</v>
      </c>
      <c r="D17" s="7" t="str">
        <f>D6</f>
        <v>PUEBLO UNIDO COALICIÓN</v>
      </c>
      <c r="E17" s="7" t="str">
        <f t="shared" ref="E17:M17" si="8">E6</f>
        <v>UNIFICACIÓN NACIONAL</v>
      </c>
      <c r="F17" s="7" t="str">
        <f t="shared" si="8"/>
        <v>FRENTE POPULAR COSTARRICENSE</v>
      </c>
      <c r="G17" s="7" t="str">
        <f t="shared" si="8"/>
        <v>UNIÓN REPUBLICANA</v>
      </c>
      <c r="H17" s="7" t="str">
        <f t="shared" si="8"/>
        <v>UNIÓN AGRÍCOLA CARTAGINÉS</v>
      </c>
      <c r="I17" s="7" t="str">
        <f t="shared" si="8"/>
        <v>NACIONAL INDEPENDIENTE</v>
      </c>
      <c r="J17" s="7" t="str">
        <f t="shared" si="8"/>
        <v>INDEPENDIENTE</v>
      </c>
      <c r="K17" s="7" t="str">
        <f t="shared" si="8"/>
        <v>ORG SOCIALISTA DE LOS TRABAJADORES</v>
      </c>
      <c r="L17" s="7" t="str">
        <f t="shared" si="8"/>
        <v>DEMÓCRATA</v>
      </c>
      <c r="M17" s="7" t="str">
        <f t="shared" si="8"/>
        <v>AUTÉNTICO LIMONENSE</v>
      </c>
      <c r="N17" s="7" t="str">
        <f>N6</f>
        <v>CONCORDIA COSTARRICENSE</v>
      </c>
      <c r="O17" s="7" t="str">
        <f t="shared" ref="O17:P17" si="9">O6</f>
        <v>AUTÉNTICO PUNTARENENSE</v>
      </c>
      <c r="P17" s="14" t="str">
        <f t="shared" si="9"/>
        <v>LABORISTA NACIONAL</v>
      </c>
      <c r="Q17" s="13" t="s">
        <v>24</v>
      </c>
    </row>
    <row r="18" spans="1:17" x14ac:dyDescent="0.2">
      <c r="A18" s="3" t="s">
        <v>13</v>
      </c>
      <c r="B18" s="8">
        <v>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5">
        <f>SUM(B18:P18)</f>
        <v>10</v>
      </c>
    </row>
    <row r="19" spans="1:17" x14ac:dyDescent="0.2">
      <c r="A19" s="3" t="s">
        <v>14</v>
      </c>
      <c r="B19" s="8">
        <v>2</v>
      </c>
      <c r="C19" s="8">
        <v>3</v>
      </c>
      <c r="D19" s="9">
        <v>0</v>
      </c>
      <c r="E19" s="9">
        <v>0</v>
      </c>
      <c r="F19" s="9">
        <v>0</v>
      </c>
      <c r="G19" s="9">
        <v>0</v>
      </c>
      <c r="H19" s="9">
        <v>1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15">
        <f t="shared" ref="Q19:Q24" si="10">SUM(B19:P19)</f>
        <v>6</v>
      </c>
    </row>
    <row r="20" spans="1:17" x14ac:dyDescent="0.2">
      <c r="A20" s="3" t="s">
        <v>15</v>
      </c>
      <c r="B20" s="9">
        <v>3</v>
      </c>
      <c r="C20" s="8">
        <v>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5">
        <f t="shared" si="10"/>
        <v>5</v>
      </c>
    </row>
    <row r="21" spans="1:17" x14ac:dyDescent="0.2">
      <c r="A21" s="3" t="s">
        <v>16</v>
      </c>
      <c r="B21" s="8">
        <v>2</v>
      </c>
      <c r="C21" s="8">
        <v>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15">
        <f t="shared" si="10"/>
        <v>4</v>
      </c>
    </row>
    <row r="22" spans="1:17" x14ac:dyDescent="0.2">
      <c r="A22" s="3" t="s">
        <v>17</v>
      </c>
      <c r="B22" s="8">
        <v>2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15">
        <f t="shared" si="10"/>
        <v>4</v>
      </c>
    </row>
    <row r="23" spans="1:17" x14ac:dyDescent="0.2">
      <c r="A23" s="3" t="s">
        <v>18</v>
      </c>
      <c r="B23" s="8">
        <v>3</v>
      </c>
      <c r="C23" s="8">
        <v>3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15">
        <f t="shared" si="10"/>
        <v>7</v>
      </c>
    </row>
    <row r="24" spans="1:17" x14ac:dyDescent="0.2">
      <c r="A24" s="3" t="s">
        <v>19</v>
      </c>
      <c r="B24" s="8">
        <v>10</v>
      </c>
      <c r="C24" s="8">
        <v>8</v>
      </c>
      <c r="D24" s="8">
        <v>2</v>
      </c>
      <c r="E24" s="8">
        <v>0</v>
      </c>
      <c r="F24" s="8">
        <v>1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15">
        <f t="shared" si="10"/>
        <v>21</v>
      </c>
    </row>
    <row r="25" spans="1:17" x14ac:dyDescent="0.2">
      <c r="A25" s="3"/>
      <c r="B25" s="4">
        <f>SUM(B18:B24)</f>
        <v>27</v>
      </c>
      <c r="C25" s="4">
        <f t="shared" ref="C25:P25" si="11">SUM(C18:C24)</f>
        <v>25</v>
      </c>
      <c r="D25" s="4">
        <f>SUM(D18:D24)</f>
        <v>3</v>
      </c>
      <c r="E25" s="4">
        <f>SUM(E18:E24)</f>
        <v>0</v>
      </c>
      <c r="F25" s="4">
        <f t="shared" si="11"/>
        <v>1</v>
      </c>
      <c r="G25" s="4">
        <f t="shared" si="11"/>
        <v>0</v>
      </c>
      <c r="H25" s="4">
        <f t="shared" si="11"/>
        <v>1</v>
      </c>
      <c r="I25" s="4">
        <f t="shared" si="11"/>
        <v>0</v>
      </c>
      <c r="J25" s="4">
        <f t="shared" si="11"/>
        <v>0</v>
      </c>
      <c r="K25" s="4">
        <f t="shared" si="11"/>
        <v>0</v>
      </c>
      <c r="L25" s="4">
        <f t="shared" si="11"/>
        <v>0</v>
      </c>
      <c r="M25" s="4">
        <f t="shared" si="11"/>
        <v>0</v>
      </c>
      <c r="N25" s="4">
        <f t="shared" si="11"/>
        <v>0</v>
      </c>
      <c r="O25" s="4">
        <f t="shared" si="11"/>
        <v>0</v>
      </c>
      <c r="P25" s="4">
        <f t="shared" si="11"/>
        <v>0</v>
      </c>
      <c r="Q25" s="4">
        <f>SUM(Q18:Q24)</f>
        <v>57</v>
      </c>
    </row>
  </sheetData>
  <mergeCells count="1">
    <mergeCell ref="A5:X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Y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17" width="39.6640625" style="1" customWidth="1"/>
    <col min="18" max="18" width="24.6640625" style="1" customWidth="1"/>
    <col min="19" max="21" width="18.6640625" style="1" customWidth="1"/>
    <col min="22" max="22" width="16.6640625" style="1" customWidth="1"/>
    <col min="23" max="23" width="19" style="1" customWidth="1"/>
    <col min="24" max="24" width="17.6640625" style="1" customWidth="1"/>
    <col min="25" max="25" width="23.1640625" style="1" customWidth="1"/>
    <col min="26" max="16384" width="10.6640625" style="1"/>
  </cols>
  <sheetData>
    <row r="5" spans="1:25" ht="24" x14ac:dyDescent="0.3">
      <c r="A5" s="29">
        <v>1982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1"/>
    </row>
    <row r="6" spans="1:25" s="2" customFormat="1" x14ac:dyDescent="0.2">
      <c r="A6" s="3" t="s">
        <v>0</v>
      </c>
      <c r="B6" s="7" t="s">
        <v>1</v>
      </c>
      <c r="C6" s="7" t="s">
        <v>55</v>
      </c>
      <c r="D6" s="7" t="s">
        <v>56</v>
      </c>
      <c r="E6" s="7" t="s">
        <v>64</v>
      </c>
      <c r="F6" s="7" t="s">
        <v>65</v>
      </c>
      <c r="G6" s="7" t="s">
        <v>66</v>
      </c>
      <c r="H6" s="7" t="s">
        <v>48</v>
      </c>
      <c r="I6" s="7" t="s">
        <v>60</v>
      </c>
      <c r="J6" s="7" t="s">
        <v>26</v>
      </c>
      <c r="K6" s="7" t="s">
        <v>59</v>
      </c>
      <c r="L6" s="7" t="s">
        <v>67</v>
      </c>
      <c r="M6" s="7" t="s">
        <v>2</v>
      </c>
      <c r="N6" s="7" t="s">
        <v>68</v>
      </c>
      <c r="O6" s="7" t="s">
        <v>61</v>
      </c>
      <c r="P6" s="7" t="s">
        <v>69</v>
      </c>
      <c r="Q6" s="7" t="s">
        <v>70</v>
      </c>
      <c r="R6" s="3" t="s">
        <v>5</v>
      </c>
      <c r="S6" s="3" t="s">
        <v>6</v>
      </c>
      <c r="T6" s="3" t="s">
        <v>7</v>
      </c>
      <c r="U6" s="3" t="s">
        <v>8</v>
      </c>
      <c r="V6" s="3" t="s">
        <v>9</v>
      </c>
      <c r="W6" s="3" t="s">
        <v>10</v>
      </c>
      <c r="X6" s="3" t="s">
        <v>11</v>
      </c>
      <c r="Y6" s="3" t="s">
        <v>12</v>
      </c>
    </row>
    <row r="7" spans="1:25" x14ac:dyDescent="0.2">
      <c r="A7" s="3" t="s">
        <v>13</v>
      </c>
      <c r="B7" s="8">
        <v>94080</v>
      </c>
      <c r="C7" s="8">
        <v>51018</v>
      </c>
      <c r="D7" s="8">
        <v>5517</v>
      </c>
      <c r="E7" s="8">
        <v>4147</v>
      </c>
      <c r="F7" s="8">
        <v>12486</v>
      </c>
      <c r="G7" s="8">
        <v>1260</v>
      </c>
      <c r="H7" s="8">
        <v>0</v>
      </c>
      <c r="I7" s="8">
        <v>0</v>
      </c>
      <c r="J7" s="8">
        <v>652</v>
      </c>
      <c r="K7" s="8">
        <v>0</v>
      </c>
      <c r="L7" s="8">
        <v>0</v>
      </c>
      <c r="M7" s="8">
        <v>354</v>
      </c>
      <c r="N7" s="8">
        <v>0</v>
      </c>
      <c r="O7" s="8">
        <v>0</v>
      </c>
      <c r="P7" s="8">
        <v>0</v>
      </c>
      <c r="Q7" s="8">
        <v>0</v>
      </c>
      <c r="R7" s="8">
        <v>2213</v>
      </c>
      <c r="S7" s="8">
        <v>4680</v>
      </c>
      <c r="T7" s="8">
        <v>40509</v>
      </c>
      <c r="U7" s="4">
        <f t="shared" ref="U7:U13" si="0">SUM(B7:T7)</f>
        <v>216916</v>
      </c>
      <c r="V7" s="4">
        <f>SUM(B7:Q7)</f>
        <v>169514</v>
      </c>
      <c r="W7" s="4">
        <f t="shared" ref="W7:W13" si="1">SUM(B7:S7)</f>
        <v>176407</v>
      </c>
      <c r="X7" s="5">
        <f>(W7-V7)/W7</f>
        <v>3.9074413146870587E-2</v>
      </c>
      <c r="Y7" s="5">
        <f>T7/U7</f>
        <v>0.1867497095649929</v>
      </c>
    </row>
    <row r="8" spans="1:25" x14ac:dyDescent="0.2">
      <c r="A8" s="3" t="s">
        <v>14</v>
      </c>
      <c r="B8" s="8">
        <v>59535</v>
      </c>
      <c r="C8" s="8">
        <v>26550</v>
      </c>
      <c r="D8" s="8">
        <v>3971</v>
      </c>
      <c r="E8" s="8">
        <v>2326</v>
      </c>
      <c r="F8" s="8">
        <v>0</v>
      </c>
      <c r="G8" s="8">
        <v>664</v>
      </c>
      <c r="H8" s="8">
        <v>7235</v>
      </c>
      <c r="I8" s="8">
        <v>320</v>
      </c>
      <c r="J8" s="8">
        <v>1213</v>
      </c>
      <c r="K8" s="8">
        <v>0</v>
      </c>
      <c r="L8" s="8">
        <v>0</v>
      </c>
      <c r="M8" s="8">
        <v>287</v>
      </c>
      <c r="N8" s="8">
        <v>1047</v>
      </c>
      <c r="O8" s="8">
        <v>0</v>
      </c>
      <c r="P8" s="8">
        <v>976</v>
      </c>
      <c r="Q8" s="8">
        <v>0</v>
      </c>
      <c r="R8" s="8">
        <v>1170</v>
      </c>
      <c r="S8" s="8">
        <v>3504</v>
      </c>
      <c r="T8" s="8">
        <v>24944</v>
      </c>
      <c r="U8" s="4">
        <f t="shared" si="0"/>
        <v>133742</v>
      </c>
      <c r="V8" s="4">
        <f t="shared" ref="V8:V13" si="2">SUM(B8:Q8)</f>
        <v>104124</v>
      </c>
      <c r="W8" s="4">
        <f t="shared" si="1"/>
        <v>108798</v>
      </c>
      <c r="X8" s="5">
        <f>(W8-V8)/W8</f>
        <v>4.2960348535818677E-2</v>
      </c>
      <c r="Y8" s="5">
        <f>T8/U8</f>
        <v>0.18650835190142215</v>
      </c>
    </row>
    <row r="9" spans="1:25" x14ac:dyDescent="0.2">
      <c r="A9" s="3" t="s">
        <v>15</v>
      </c>
      <c r="B9" s="8">
        <v>46320</v>
      </c>
      <c r="C9" s="8">
        <v>25590</v>
      </c>
      <c r="D9" s="8">
        <v>3051</v>
      </c>
      <c r="E9" s="8">
        <v>2418</v>
      </c>
      <c r="F9" s="8">
        <v>0</v>
      </c>
      <c r="G9" s="8">
        <v>446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177</v>
      </c>
      <c r="N9" s="8">
        <v>0</v>
      </c>
      <c r="O9" s="8">
        <v>0</v>
      </c>
      <c r="P9" s="8">
        <v>0</v>
      </c>
      <c r="Q9" s="8">
        <v>0</v>
      </c>
      <c r="R9" s="8">
        <v>1070</v>
      </c>
      <c r="S9" s="8">
        <v>2257</v>
      </c>
      <c r="T9" s="8">
        <v>19511</v>
      </c>
      <c r="U9" s="4">
        <f t="shared" si="0"/>
        <v>100840</v>
      </c>
      <c r="V9" s="4">
        <f t="shared" si="2"/>
        <v>78002</v>
      </c>
      <c r="W9" s="4">
        <f t="shared" si="1"/>
        <v>81329</v>
      </c>
      <c r="X9" s="5">
        <f>(W9-V9)/W9</f>
        <v>4.090791722509806E-2</v>
      </c>
      <c r="Y9" s="5">
        <f>T9/U9</f>
        <v>0.1934847282824276</v>
      </c>
    </row>
    <row r="10" spans="1:25" x14ac:dyDescent="0.2">
      <c r="A10" s="3" t="s">
        <v>16</v>
      </c>
      <c r="B10" s="8">
        <v>43264</v>
      </c>
      <c r="C10" s="8">
        <v>25974</v>
      </c>
      <c r="D10" s="8">
        <v>6679</v>
      </c>
      <c r="E10" s="8">
        <v>2840</v>
      </c>
      <c r="F10" s="8">
        <v>0</v>
      </c>
      <c r="G10" s="8">
        <v>845</v>
      </c>
      <c r="H10" s="8">
        <v>0</v>
      </c>
      <c r="I10" s="8">
        <v>0</v>
      </c>
      <c r="J10" s="8">
        <v>330</v>
      </c>
      <c r="K10" s="8">
        <v>0</v>
      </c>
      <c r="L10" s="8">
        <v>0</v>
      </c>
      <c r="M10" s="8">
        <v>138</v>
      </c>
      <c r="N10" s="8">
        <v>0</v>
      </c>
      <c r="O10" s="8">
        <v>0</v>
      </c>
      <c r="P10" s="8">
        <v>0</v>
      </c>
      <c r="Q10" s="8">
        <v>0</v>
      </c>
      <c r="R10" s="8">
        <v>806</v>
      </c>
      <c r="S10" s="8">
        <v>1355</v>
      </c>
      <c r="T10" s="8">
        <v>19168</v>
      </c>
      <c r="U10" s="4">
        <f t="shared" si="0"/>
        <v>101399</v>
      </c>
      <c r="V10" s="4">
        <f t="shared" si="2"/>
        <v>80070</v>
      </c>
      <c r="W10" s="4">
        <f t="shared" si="1"/>
        <v>82231</v>
      </c>
      <c r="X10" s="5">
        <f>(W10-V10)/W10</f>
        <v>2.6279626904695309E-2</v>
      </c>
      <c r="Y10" s="5">
        <f t="shared" ref="Y10:Y11" si="3">T10/U10</f>
        <v>0.18903539482637896</v>
      </c>
    </row>
    <row r="11" spans="1:25" x14ac:dyDescent="0.2">
      <c r="A11" s="3" t="s">
        <v>17</v>
      </c>
      <c r="B11" s="8">
        <v>20225</v>
      </c>
      <c r="C11" s="8">
        <v>12568</v>
      </c>
      <c r="D11" s="8">
        <v>6619</v>
      </c>
      <c r="E11" s="8">
        <v>1533</v>
      </c>
      <c r="F11" s="8">
        <v>0</v>
      </c>
      <c r="G11" s="8">
        <v>854</v>
      </c>
      <c r="H11" s="8">
        <v>0</v>
      </c>
      <c r="I11" s="8">
        <v>0</v>
      </c>
      <c r="J11" s="8">
        <v>657</v>
      </c>
      <c r="K11" s="8">
        <v>3893</v>
      </c>
      <c r="L11" s="8">
        <v>0</v>
      </c>
      <c r="M11" s="8">
        <v>183</v>
      </c>
      <c r="N11" s="8">
        <v>0</v>
      </c>
      <c r="O11" s="8">
        <v>0</v>
      </c>
      <c r="P11" s="8">
        <v>0</v>
      </c>
      <c r="Q11" s="8">
        <v>0</v>
      </c>
      <c r="R11" s="8">
        <v>863</v>
      </c>
      <c r="S11" s="8">
        <v>2422</v>
      </c>
      <c r="T11" s="8">
        <v>23875</v>
      </c>
      <c r="U11" s="4">
        <f t="shared" si="0"/>
        <v>73692</v>
      </c>
      <c r="V11" s="4">
        <f t="shared" si="2"/>
        <v>46532</v>
      </c>
      <c r="W11" s="4">
        <f t="shared" si="1"/>
        <v>49817</v>
      </c>
      <c r="X11" s="5">
        <f t="shared" ref="X11:X14" si="4">(W11-V11)/W11</f>
        <v>6.5941345323885417E-2</v>
      </c>
      <c r="Y11" s="5">
        <f t="shared" si="3"/>
        <v>0.32398360744721272</v>
      </c>
    </row>
    <row r="12" spans="1:25" x14ac:dyDescent="0.2">
      <c r="A12" s="3" t="s">
        <v>18</v>
      </c>
      <c r="B12" s="8">
        <v>47506</v>
      </c>
      <c r="C12" s="8">
        <v>24424</v>
      </c>
      <c r="D12" s="8">
        <v>7308</v>
      </c>
      <c r="E12" s="8">
        <v>2687</v>
      </c>
      <c r="F12" s="8">
        <v>0</v>
      </c>
      <c r="G12" s="8">
        <v>1735</v>
      </c>
      <c r="H12" s="8">
        <v>0</v>
      </c>
      <c r="I12" s="8">
        <v>0</v>
      </c>
      <c r="J12" s="8">
        <v>247</v>
      </c>
      <c r="K12" s="8">
        <v>0</v>
      </c>
      <c r="L12" s="8">
        <v>0</v>
      </c>
      <c r="M12" s="8">
        <v>310</v>
      </c>
      <c r="N12" s="8">
        <v>0</v>
      </c>
      <c r="O12" s="8">
        <v>1036</v>
      </c>
      <c r="P12" s="8">
        <v>0</v>
      </c>
      <c r="Q12" s="8">
        <v>0</v>
      </c>
      <c r="R12" s="8">
        <v>1317</v>
      </c>
      <c r="S12" s="8">
        <v>3085</v>
      </c>
      <c r="T12" s="8">
        <v>34732</v>
      </c>
      <c r="U12" s="4">
        <f t="shared" si="0"/>
        <v>124387</v>
      </c>
      <c r="V12" s="4">
        <f t="shared" si="2"/>
        <v>85253</v>
      </c>
      <c r="W12" s="4">
        <f t="shared" si="1"/>
        <v>89655</v>
      </c>
      <c r="X12" s="5">
        <f>(W12-V12)/W12</f>
        <v>4.9099325191009985E-2</v>
      </c>
      <c r="Y12" s="5">
        <f>T12/U12</f>
        <v>0.27922532097405678</v>
      </c>
    </row>
    <row r="13" spans="1:25" x14ac:dyDescent="0.2">
      <c r="A13" s="3" t="s">
        <v>19</v>
      </c>
      <c r="B13" s="8">
        <v>216301</v>
      </c>
      <c r="C13" s="8">
        <v>111874</v>
      </c>
      <c r="D13" s="9">
        <v>28320</v>
      </c>
      <c r="E13" s="9">
        <v>18486</v>
      </c>
      <c r="F13" s="9">
        <v>0</v>
      </c>
      <c r="G13" s="9">
        <v>5771</v>
      </c>
      <c r="H13" s="9">
        <v>0</v>
      </c>
      <c r="I13" s="9">
        <v>4694</v>
      </c>
      <c r="J13" s="9">
        <v>1572</v>
      </c>
      <c r="K13" s="9">
        <v>0</v>
      </c>
      <c r="L13" s="9">
        <v>3546</v>
      </c>
      <c r="M13" s="9">
        <v>1223</v>
      </c>
      <c r="N13" s="9">
        <v>0</v>
      </c>
      <c r="O13" s="9">
        <v>0</v>
      </c>
      <c r="P13" s="9">
        <v>0</v>
      </c>
      <c r="Q13" s="9">
        <v>708</v>
      </c>
      <c r="R13" s="8">
        <v>3577</v>
      </c>
      <c r="S13" s="8">
        <v>7257</v>
      </c>
      <c r="T13" s="8">
        <v>106822</v>
      </c>
      <c r="U13" s="4">
        <f t="shared" si="0"/>
        <v>510151</v>
      </c>
      <c r="V13" s="4">
        <f t="shared" si="2"/>
        <v>392495</v>
      </c>
      <c r="W13" s="4">
        <f t="shared" si="1"/>
        <v>403329</v>
      </c>
      <c r="X13" s="5">
        <f t="shared" si="4"/>
        <v>2.6861445618837226E-2</v>
      </c>
      <c r="Y13" s="5">
        <f>T13/U13</f>
        <v>0.20939290523786094</v>
      </c>
    </row>
    <row r="14" spans="1:25" x14ac:dyDescent="0.2">
      <c r="A14" s="3" t="s">
        <v>20</v>
      </c>
      <c r="B14" s="4">
        <f>SUM(B7:B13)</f>
        <v>527231</v>
      </c>
      <c r="C14" s="4">
        <f t="shared" ref="C14:Q14" si="5">SUM(C7:C13)</f>
        <v>277998</v>
      </c>
      <c r="D14" s="4">
        <f t="shared" si="5"/>
        <v>61465</v>
      </c>
      <c r="E14" s="4">
        <f t="shared" si="5"/>
        <v>34437</v>
      </c>
      <c r="F14" s="4">
        <f t="shared" si="5"/>
        <v>12486</v>
      </c>
      <c r="G14" s="4">
        <f t="shared" si="5"/>
        <v>11575</v>
      </c>
      <c r="H14" s="4">
        <f t="shared" si="5"/>
        <v>7235</v>
      </c>
      <c r="I14" s="4">
        <f t="shared" si="5"/>
        <v>5014</v>
      </c>
      <c r="J14" s="4">
        <f t="shared" si="5"/>
        <v>4671</v>
      </c>
      <c r="K14" s="4">
        <f t="shared" si="5"/>
        <v>3893</v>
      </c>
      <c r="L14" s="4">
        <f t="shared" si="5"/>
        <v>3546</v>
      </c>
      <c r="M14" s="4">
        <f t="shared" si="5"/>
        <v>2672</v>
      </c>
      <c r="N14" s="4">
        <f t="shared" si="5"/>
        <v>1047</v>
      </c>
      <c r="O14" s="4">
        <f t="shared" si="5"/>
        <v>1036</v>
      </c>
      <c r="P14" s="4">
        <f t="shared" si="5"/>
        <v>976</v>
      </c>
      <c r="Q14" s="4">
        <f t="shared" si="5"/>
        <v>708</v>
      </c>
      <c r="R14" s="4">
        <f>SUM(R7:R13)</f>
        <v>11016</v>
      </c>
      <c r="S14" s="4">
        <f t="shared" ref="S14" si="6">SUM(S7:S13)</f>
        <v>24560</v>
      </c>
      <c r="T14" s="4">
        <f>SUM(T7:T13)</f>
        <v>269561</v>
      </c>
      <c r="U14" s="4">
        <f>SUM(U7:U13)</f>
        <v>1261127</v>
      </c>
      <c r="V14" s="4">
        <f>SUM(V7:V13)</f>
        <v>955990</v>
      </c>
      <c r="W14" s="4">
        <f>SUM(W7:W13)</f>
        <v>991566</v>
      </c>
      <c r="X14" s="5">
        <f t="shared" si="4"/>
        <v>3.5878600113356043E-2</v>
      </c>
      <c r="Y14" s="5">
        <f>T14/U14</f>
        <v>0.21374611755992853</v>
      </c>
    </row>
    <row r="15" spans="1:25" x14ac:dyDescent="0.2">
      <c r="A15" s="3" t="s">
        <v>21</v>
      </c>
      <c r="B15" s="5">
        <f>B14/$V$14</f>
        <v>0.55150263078065676</v>
      </c>
      <c r="C15" s="5">
        <f t="shared" ref="C15:Q15" si="7">C14/$V$14</f>
        <v>0.29079592882770738</v>
      </c>
      <c r="D15" s="5">
        <f t="shared" si="7"/>
        <v>6.42946055921087E-2</v>
      </c>
      <c r="E15" s="5">
        <f t="shared" si="7"/>
        <v>3.6022343329951148E-2</v>
      </c>
      <c r="F15" s="5">
        <f t="shared" si="7"/>
        <v>1.3060806075377358E-2</v>
      </c>
      <c r="G15" s="5">
        <f t="shared" si="7"/>
        <v>1.2107867237104991E-2</v>
      </c>
      <c r="H15" s="5">
        <f t="shared" si="7"/>
        <v>7.5680707957196209E-3</v>
      </c>
      <c r="I15" s="5">
        <f t="shared" si="7"/>
        <v>5.2448247366604257E-3</v>
      </c>
      <c r="J15" s="5">
        <f t="shared" si="7"/>
        <v>4.8860343727444846E-3</v>
      </c>
      <c r="K15" s="5">
        <f t="shared" si="7"/>
        <v>4.0722183286436052E-3</v>
      </c>
      <c r="L15" s="5">
        <f t="shared" si="7"/>
        <v>3.7092438205420558E-3</v>
      </c>
      <c r="M15" s="5">
        <f>M14/$V$14</f>
        <v>2.7950083159865688E-3</v>
      </c>
      <c r="N15" s="5">
        <f t="shared" si="7"/>
        <v>1.0951997405830604E-3</v>
      </c>
      <c r="O15" s="5">
        <f>O14/$V$14</f>
        <v>1.0836933440726366E-3</v>
      </c>
      <c r="P15" s="5">
        <f>P14/$V$14</f>
        <v>1.0209311812885073E-3</v>
      </c>
      <c r="Q15" s="5">
        <f t="shared" si="7"/>
        <v>7.4059352085272857E-4</v>
      </c>
      <c r="R15" s="11"/>
    </row>
    <row r="16" spans="1:25" x14ac:dyDescent="0.2">
      <c r="A16" s="3" t="s">
        <v>22</v>
      </c>
      <c r="B16" s="5">
        <v>0.58799999999999997</v>
      </c>
      <c r="C16" s="5">
        <v>0.33639999999999998</v>
      </c>
      <c r="D16" s="5">
        <v>3.3300000000000003E-2</v>
      </c>
      <c r="E16" s="12">
        <v>3.8399999999999997E-2</v>
      </c>
      <c r="F16" s="12">
        <v>0</v>
      </c>
      <c r="G16" s="12">
        <v>0</v>
      </c>
      <c r="H16" s="12">
        <v>0</v>
      </c>
      <c r="I16" s="12">
        <v>0</v>
      </c>
      <c r="J16" s="12">
        <v>2E-3</v>
      </c>
      <c r="K16" s="12">
        <v>0</v>
      </c>
      <c r="L16" s="12">
        <v>0</v>
      </c>
      <c r="M16" s="12">
        <v>1.8E-3</v>
      </c>
      <c r="N16" s="12">
        <v>0</v>
      </c>
      <c r="O16" s="12">
        <v>0</v>
      </c>
      <c r="P16" s="12">
        <v>0</v>
      </c>
      <c r="Q16" s="12">
        <v>0</v>
      </c>
      <c r="R16" s="11"/>
    </row>
    <row r="17" spans="1:18" s="2" customFormat="1" x14ac:dyDescent="0.2">
      <c r="A17" s="3" t="s">
        <v>23</v>
      </c>
      <c r="B17" s="7" t="str">
        <f>B6</f>
        <v>LIBERACIÓN NACIONAL</v>
      </c>
      <c r="C17" s="7" t="str">
        <f>C6</f>
        <v>COALICIÓN UNIDAD</v>
      </c>
      <c r="D17" s="7" t="str">
        <f>D6</f>
        <v>PUEBLO UNIDO COALICIÓN</v>
      </c>
      <c r="E17" s="7" t="str">
        <f t="shared" ref="E17:L17" si="8">E6</f>
        <v>MOVIMIENTO NACIONAL</v>
      </c>
      <c r="F17" s="7" t="str">
        <f t="shared" si="8"/>
        <v>ACCIÓN DEMOCRÁTICA ALAJUELENSE</v>
      </c>
      <c r="G17" s="7" t="str">
        <f t="shared" si="8"/>
        <v>NACIONAL DEMOCRÁTICO</v>
      </c>
      <c r="H17" s="7" t="str">
        <f t="shared" si="8"/>
        <v>UNIÓN AGRÍCOLA CARTAGINÉS</v>
      </c>
      <c r="I17" s="7" t="str">
        <f t="shared" si="8"/>
        <v>CONCORDIA COSTARRICENSE</v>
      </c>
      <c r="J17" s="7" t="str">
        <f t="shared" si="8"/>
        <v>INDEPENDIENTE</v>
      </c>
      <c r="K17" s="7" t="str">
        <f t="shared" si="8"/>
        <v>AUTÉNTICO LIMONENSE</v>
      </c>
      <c r="L17" s="7" t="str">
        <f t="shared" si="8"/>
        <v>ACCIÓN DEL PUEBLO</v>
      </c>
      <c r="M17" s="7" t="str">
        <f>M6</f>
        <v>DEMÓCRATA</v>
      </c>
      <c r="N17" s="7" t="str">
        <f t="shared" ref="N17:Q17" si="9">N6</f>
        <v>UNIÓN PARLAMENTARIA DE CARTAGO</v>
      </c>
      <c r="O17" s="7" t="str">
        <f t="shared" si="9"/>
        <v>AUTÉNTICO PUNTARENENSE</v>
      </c>
      <c r="P17" s="7" t="str">
        <f t="shared" si="9"/>
        <v>OBRERO CAMPESINO</v>
      </c>
      <c r="Q17" s="14" t="str">
        <f t="shared" si="9"/>
        <v>LIBERALISMO NACIONAL REPUBLICANO</v>
      </c>
      <c r="R17" s="13" t="s">
        <v>24</v>
      </c>
    </row>
    <row r="18" spans="1:18" x14ac:dyDescent="0.2">
      <c r="A18" s="3" t="s">
        <v>13</v>
      </c>
      <c r="B18" s="8">
        <v>6</v>
      </c>
      <c r="C18" s="8">
        <v>3</v>
      </c>
      <c r="D18" s="8">
        <v>0</v>
      </c>
      <c r="E18" s="8">
        <v>0</v>
      </c>
      <c r="F18" s="8">
        <v>1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15">
        <f t="shared" ref="R18:R24" si="10">SUM(B18:Q18)</f>
        <v>10</v>
      </c>
    </row>
    <row r="19" spans="1:18" x14ac:dyDescent="0.2">
      <c r="A19" s="3" t="s">
        <v>14</v>
      </c>
      <c r="B19" s="8">
        <v>4</v>
      </c>
      <c r="C19" s="8">
        <v>2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15">
        <f t="shared" si="10"/>
        <v>6</v>
      </c>
    </row>
    <row r="20" spans="1:18" x14ac:dyDescent="0.2">
      <c r="A20" s="3" t="s">
        <v>15</v>
      </c>
      <c r="B20" s="9">
        <v>3</v>
      </c>
      <c r="C20" s="8">
        <v>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15">
        <f t="shared" si="10"/>
        <v>5</v>
      </c>
    </row>
    <row r="21" spans="1:18" x14ac:dyDescent="0.2">
      <c r="A21" s="3" t="s">
        <v>16</v>
      </c>
      <c r="B21" s="8">
        <v>2</v>
      </c>
      <c r="C21" s="8">
        <v>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15">
        <f t="shared" si="10"/>
        <v>4</v>
      </c>
    </row>
    <row r="22" spans="1:18" x14ac:dyDescent="0.2">
      <c r="A22" s="3" t="s">
        <v>17</v>
      </c>
      <c r="B22" s="8">
        <v>2</v>
      </c>
      <c r="C22" s="8">
        <v>1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15">
        <f t="shared" si="10"/>
        <v>4</v>
      </c>
    </row>
    <row r="23" spans="1:18" x14ac:dyDescent="0.2">
      <c r="A23" s="3" t="s">
        <v>18</v>
      </c>
      <c r="B23" s="8">
        <v>4</v>
      </c>
      <c r="C23" s="8">
        <v>2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15">
        <f t="shared" si="10"/>
        <v>7</v>
      </c>
    </row>
    <row r="24" spans="1:18" x14ac:dyDescent="0.2">
      <c r="A24" s="3" t="s">
        <v>19</v>
      </c>
      <c r="B24" s="8">
        <v>12</v>
      </c>
      <c r="C24" s="8">
        <v>6</v>
      </c>
      <c r="D24" s="8">
        <v>2</v>
      </c>
      <c r="E24" s="8">
        <v>1</v>
      </c>
      <c r="F24" s="8">
        <v>0</v>
      </c>
      <c r="G24" s="8"/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15">
        <f t="shared" si="10"/>
        <v>21</v>
      </c>
    </row>
    <row r="25" spans="1:18" x14ac:dyDescent="0.2">
      <c r="A25" s="3"/>
      <c r="B25" s="4">
        <f>SUM(B18:B24)</f>
        <v>33</v>
      </c>
      <c r="C25" s="4">
        <f t="shared" ref="C25:Q25" si="11">SUM(C18:C24)</f>
        <v>18</v>
      </c>
      <c r="D25" s="4">
        <f>SUM(D18:D24)</f>
        <v>4</v>
      </c>
      <c r="E25" s="4">
        <f>SUM(E18:E24)</f>
        <v>1</v>
      </c>
      <c r="F25" s="4">
        <f t="shared" si="11"/>
        <v>1</v>
      </c>
      <c r="G25" s="4">
        <f t="shared" si="11"/>
        <v>0</v>
      </c>
      <c r="H25" s="4">
        <f t="shared" si="11"/>
        <v>0</v>
      </c>
      <c r="I25" s="4">
        <f t="shared" si="11"/>
        <v>0</v>
      </c>
      <c r="J25" s="4">
        <f t="shared" si="11"/>
        <v>0</v>
      </c>
      <c r="K25" s="4">
        <f t="shared" si="11"/>
        <v>0</v>
      </c>
      <c r="L25" s="4">
        <f t="shared" si="11"/>
        <v>0</v>
      </c>
      <c r="M25" s="4">
        <f t="shared" si="11"/>
        <v>0</v>
      </c>
      <c r="N25" s="4">
        <f t="shared" si="11"/>
        <v>0</v>
      </c>
      <c r="O25" s="4">
        <f t="shared" ref="O25" si="12">SUM(O18:O24)</f>
        <v>0</v>
      </c>
      <c r="P25" s="4">
        <f t="shared" ref="P25" si="13">SUM(P18:P24)</f>
        <v>0</v>
      </c>
      <c r="Q25" s="4">
        <f t="shared" si="11"/>
        <v>0</v>
      </c>
      <c r="R25" s="4">
        <f>SUM(R18:R24)</f>
        <v>57</v>
      </c>
    </row>
  </sheetData>
  <mergeCells count="1">
    <mergeCell ref="A5:Y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V25"/>
  <sheetViews>
    <sheetView workbookViewId="0"/>
  </sheetViews>
  <sheetFormatPr baseColWidth="10" defaultColWidth="10.6640625" defaultRowHeight="16" x14ac:dyDescent="0.2"/>
  <cols>
    <col min="1" max="1" width="25.5" style="2" customWidth="1"/>
    <col min="2" max="2" width="26.1640625" style="1" customWidth="1"/>
    <col min="3" max="3" width="27.1640625" style="1" customWidth="1"/>
    <col min="4" max="14" width="39.6640625" style="1" customWidth="1"/>
    <col min="15" max="15" width="24.6640625" style="1" customWidth="1"/>
    <col min="16" max="18" width="18.6640625" style="1" customWidth="1"/>
    <col min="19" max="19" width="16.6640625" style="1" customWidth="1"/>
    <col min="20" max="20" width="19" style="1" customWidth="1"/>
    <col min="21" max="21" width="17.6640625" style="1" customWidth="1"/>
    <col min="22" max="22" width="23.1640625" style="1" customWidth="1"/>
    <col min="23" max="24" width="9" style="1"/>
    <col min="25" max="16384" width="10.6640625" style="1"/>
  </cols>
  <sheetData>
    <row r="5" spans="1:22" ht="24" x14ac:dyDescent="0.3">
      <c r="A5" s="29">
        <v>1986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1"/>
    </row>
    <row r="6" spans="1:22" s="2" customFormat="1" x14ac:dyDescent="0.2">
      <c r="A6" s="3" t="s">
        <v>0</v>
      </c>
      <c r="B6" s="7" t="s">
        <v>1</v>
      </c>
      <c r="C6" s="7" t="s">
        <v>71</v>
      </c>
      <c r="D6" s="7" t="s">
        <v>56</v>
      </c>
      <c r="E6" s="7" t="s">
        <v>72</v>
      </c>
      <c r="F6" s="7" t="s">
        <v>73</v>
      </c>
      <c r="G6" s="7" t="s">
        <v>48</v>
      </c>
      <c r="H6" s="7" t="s">
        <v>30</v>
      </c>
      <c r="I6" s="7" t="s">
        <v>74</v>
      </c>
      <c r="J6" s="7" t="s">
        <v>75</v>
      </c>
      <c r="K6" s="7" t="s">
        <v>59</v>
      </c>
      <c r="L6" s="7" t="s">
        <v>76</v>
      </c>
      <c r="M6" s="7" t="s">
        <v>26</v>
      </c>
      <c r="N6" s="7" t="s">
        <v>66</v>
      </c>
      <c r="O6" s="3" t="s">
        <v>5</v>
      </c>
      <c r="P6" s="3" t="s">
        <v>6</v>
      </c>
      <c r="Q6" s="3" t="s">
        <v>7</v>
      </c>
      <c r="R6" s="3" t="s">
        <v>8</v>
      </c>
      <c r="S6" s="3" t="s">
        <v>9</v>
      </c>
      <c r="T6" s="3" t="s">
        <v>10</v>
      </c>
      <c r="U6" s="3" t="s">
        <v>11</v>
      </c>
      <c r="V6" s="3" t="s">
        <v>12</v>
      </c>
    </row>
    <row r="7" spans="1:22" x14ac:dyDescent="0.2">
      <c r="A7" s="3" t="s">
        <v>13</v>
      </c>
      <c r="B7" s="8">
        <v>104726</v>
      </c>
      <c r="C7" s="8">
        <v>88240</v>
      </c>
      <c r="D7" s="8">
        <v>2581</v>
      </c>
      <c r="E7" s="8">
        <v>2702</v>
      </c>
      <c r="F7" s="8">
        <v>2273</v>
      </c>
      <c r="G7" s="8">
        <v>0</v>
      </c>
      <c r="H7" s="8">
        <v>1258</v>
      </c>
      <c r="I7" s="8">
        <v>109</v>
      </c>
      <c r="J7" s="8">
        <v>4324</v>
      </c>
      <c r="K7" s="8">
        <v>0</v>
      </c>
      <c r="L7" s="8">
        <v>3604</v>
      </c>
      <c r="M7" s="8">
        <v>242</v>
      </c>
      <c r="N7" s="8">
        <v>0</v>
      </c>
      <c r="O7" s="8">
        <v>3035</v>
      </c>
      <c r="P7" s="8">
        <v>5269</v>
      </c>
      <c r="Q7" s="8">
        <v>39336</v>
      </c>
      <c r="R7" s="4">
        <f t="shared" ref="R7:R13" si="0">SUM(B7:Q7)</f>
        <v>257699</v>
      </c>
      <c r="S7" s="4">
        <f t="shared" ref="S7:S13" si="1">SUM(B7:N7)</f>
        <v>210059</v>
      </c>
      <c r="T7" s="4">
        <f t="shared" ref="T7:T13" si="2">SUM(B7:P7)</f>
        <v>218363</v>
      </c>
      <c r="U7" s="5">
        <f>(T7-S7)/T7</f>
        <v>3.8028420565755186E-2</v>
      </c>
      <c r="V7" s="5">
        <f>Q7/R7</f>
        <v>0.1526432000124176</v>
      </c>
    </row>
    <row r="8" spans="1:22" x14ac:dyDescent="0.2">
      <c r="A8" s="3" t="s">
        <v>14</v>
      </c>
      <c r="B8" s="8">
        <v>61027</v>
      </c>
      <c r="C8" s="8">
        <v>49103</v>
      </c>
      <c r="D8" s="8">
        <v>2195</v>
      </c>
      <c r="E8" s="8">
        <v>2265</v>
      </c>
      <c r="F8" s="8">
        <v>1699</v>
      </c>
      <c r="G8" s="8">
        <v>13575</v>
      </c>
      <c r="H8" s="8">
        <v>847</v>
      </c>
      <c r="I8" s="8">
        <v>160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1242</v>
      </c>
      <c r="P8" s="8">
        <v>4596</v>
      </c>
      <c r="Q8" s="8">
        <v>24758</v>
      </c>
      <c r="R8" s="4">
        <f t="shared" si="0"/>
        <v>161467</v>
      </c>
      <c r="S8" s="4">
        <f t="shared" si="1"/>
        <v>130871</v>
      </c>
      <c r="T8" s="4">
        <f t="shared" si="2"/>
        <v>136709</v>
      </c>
      <c r="U8" s="5">
        <f>(T8-S8)/T8</f>
        <v>4.270384539423154E-2</v>
      </c>
      <c r="V8" s="5">
        <f>Q8/R8</f>
        <v>0.15333164052097334</v>
      </c>
    </row>
    <row r="9" spans="1:22" x14ac:dyDescent="0.2">
      <c r="A9" s="3" t="s">
        <v>15</v>
      </c>
      <c r="B9" s="8">
        <v>43575</v>
      </c>
      <c r="C9" s="8">
        <v>41726</v>
      </c>
      <c r="D9" s="8">
        <v>1325</v>
      </c>
      <c r="E9" s="8">
        <v>746</v>
      </c>
      <c r="F9" s="8">
        <v>2273</v>
      </c>
      <c r="G9" s="8">
        <v>0</v>
      </c>
      <c r="H9" s="8">
        <v>1599</v>
      </c>
      <c r="I9" s="8">
        <v>252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1226</v>
      </c>
      <c r="P9" s="8">
        <v>2992</v>
      </c>
      <c r="Q9" s="8">
        <v>18743</v>
      </c>
      <c r="R9" s="4">
        <f t="shared" si="0"/>
        <v>114457</v>
      </c>
      <c r="S9" s="4">
        <f t="shared" si="1"/>
        <v>91496</v>
      </c>
      <c r="T9" s="4">
        <f t="shared" si="2"/>
        <v>95714</v>
      </c>
      <c r="U9" s="5">
        <f>(T9-S9)/T9</f>
        <v>4.4068788265039599E-2</v>
      </c>
      <c r="V9" s="5">
        <f>Q9/R9</f>
        <v>0.16375582096333122</v>
      </c>
    </row>
    <row r="10" spans="1:22" x14ac:dyDescent="0.2">
      <c r="A10" s="3" t="s">
        <v>16</v>
      </c>
      <c r="B10" s="8">
        <v>48715</v>
      </c>
      <c r="C10" s="8">
        <v>42457</v>
      </c>
      <c r="D10" s="8">
        <v>4116</v>
      </c>
      <c r="E10" s="8">
        <v>2558</v>
      </c>
      <c r="F10" s="8">
        <v>2084</v>
      </c>
      <c r="G10" s="8">
        <v>0</v>
      </c>
      <c r="H10" s="8">
        <v>762</v>
      </c>
      <c r="I10" s="8">
        <v>122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1023</v>
      </c>
      <c r="P10" s="8">
        <v>1814</v>
      </c>
      <c r="Q10" s="8">
        <v>18472</v>
      </c>
      <c r="R10" s="4">
        <f t="shared" si="0"/>
        <v>122123</v>
      </c>
      <c r="S10" s="4">
        <f t="shared" si="1"/>
        <v>100814</v>
      </c>
      <c r="T10" s="4">
        <f t="shared" si="2"/>
        <v>103651</v>
      </c>
      <c r="U10" s="5">
        <f>(T10-S10)/T10</f>
        <v>2.7370695892948452E-2</v>
      </c>
      <c r="V10" s="5">
        <f t="shared" ref="V10:V11" si="3">Q10/R10</f>
        <v>0.15125733891240797</v>
      </c>
    </row>
    <row r="11" spans="1:22" x14ac:dyDescent="0.2">
      <c r="A11" s="3" t="s">
        <v>17</v>
      </c>
      <c r="B11" s="8">
        <v>22125</v>
      </c>
      <c r="C11" s="8">
        <v>28240</v>
      </c>
      <c r="D11" s="8">
        <v>3059</v>
      </c>
      <c r="E11" s="8">
        <v>3505</v>
      </c>
      <c r="F11" s="8">
        <v>1054</v>
      </c>
      <c r="G11" s="8">
        <v>0</v>
      </c>
      <c r="H11" s="8">
        <v>864</v>
      </c>
      <c r="I11" s="8">
        <v>585</v>
      </c>
      <c r="J11" s="8">
        <v>0</v>
      </c>
      <c r="K11" s="8">
        <v>3813</v>
      </c>
      <c r="L11" s="8">
        <v>0</v>
      </c>
      <c r="M11" s="8">
        <v>117</v>
      </c>
      <c r="N11" s="8">
        <v>0</v>
      </c>
      <c r="O11" s="8">
        <v>1073</v>
      </c>
      <c r="P11" s="8">
        <v>3684</v>
      </c>
      <c r="Q11" s="8">
        <v>26360</v>
      </c>
      <c r="R11" s="4">
        <f t="shared" si="0"/>
        <v>94479</v>
      </c>
      <c r="S11" s="4">
        <f t="shared" si="1"/>
        <v>63362</v>
      </c>
      <c r="T11" s="4">
        <f t="shared" si="2"/>
        <v>68119</v>
      </c>
      <c r="U11" s="5">
        <f t="shared" ref="U11:U14" si="4">(T11-S11)/T11</f>
        <v>6.9833673424448392E-2</v>
      </c>
      <c r="V11" s="5">
        <f t="shared" si="3"/>
        <v>0.27900379978619588</v>
      </c>
    </row>
    <row r="12" spans="1:22" x14ac:dyDescent="0.2">
      <c r="A12" s="3" t="s">
        <v>18</v>
      </c>
      <c r="B12" s="8">
        <v>47191</v>
      </c>
      <c r="C12" s="8">
        <v>46242</v>
      </c>
      <c r="D12" s="8">
        <v>2260</v>
      </c>
      <c r="E12" s="8">
        <v>3260</v>
      </c>
      <c r="F12" s="8">
        <v>1750</v>
      </c>
      <c r="G12" s="8">
        <v>0</v>
      </c>
      <c r="H12" s="8">
        <v>1564</v>
      </c>
      <c r="I12" s="8">
        <v>359</v>
      </c>
      <c r="J12" s="8">
        <v>0</v>
      </c>
      <c r="K12" s="8">
        <v>0</v>
      </c>
      <c r="L12" s="8">
        <v>0</v>
      </c>
      <c r="M12" s="8">
        <v>0</v>
      </c>
      <c r="N12" s="8">
        <v>2054</v>
      </c>
      <c r="O12" s="8">
        <v>1589</v>
      </c>
      <c r="P12" s="8">
        <v>4339</v>
      </c>
      <c r="Q12" s="8">
        <v>35001</v>
      </c>
      <c r="R12" s="4">
        <f t="shared" si="0"/>
        <v>145609</v>
      </c>
      <c r="S12" s="4">
        <f t="shared" si="1"/>
        <v>104680</v>
      </c>
      <c r="T12" s="4">
        <f t="shared" si="2"/>
        <v>110608</v>
      </c>
      <c r="U12" s="5">
        <f>(T12-S12)/T12</f>
        <v>5.3594676696079847E-2</v>
      </c>
      <c r="V12" s="5">
        <f>Q12/R12</f>
        <v>0.24037662507125246</v>
      </c>
    </row>
    <row r="13" spans="1:22" x14ac:dyDescent="0.2">
      <c r="A13" s="3" t="s">
        <v>19</v>
      </c>
      <c r="B13" s="8">
        <v>233335</v>
      </c>
      <c r="C13" s="8">
        <v>189852</v>
      </c>
      <c r="D13" s="9">
        <v>16149</v>
      </c>
      <c r="E13" s="9">
        <v>13515</v>
      </c>
      <c r="F13" s="9">
        <v>8839</v>
      </c>
      <c r="G13" s="9">
        <v>0</v>
      </c>
      <c r="H13" s="9">
        <v>3704</v>
      </c>
      <c r="I13" s="9">
        <v>2815</v>
      </c>
      <c r="J13" s="9">
        <v>0</v>
      </c>
      <c r="K13" s="9">
        <v>0</v>
      </c>
      <c r="L13" s="9">
        <v>0</v>
      </c>
      <c r="M13" s="9">
        <v>2708</v>
      </c>
      <c r="N13" s="9">
        <v>0</v>
      </c>
      <c r="O13" s="8">
        <v>3999</v>
      </c>
      <c r="P13" s="8">
        <v>7973</v>
      </c>
      <c r="Q13" s="8">
        <v>107751</v>
      </c>
      <c r="R13" s="4">
        <f t="shared" si="0"/>
        <v>590640</v>
      </c>
      <c r="S13" s="4">
        <f t="shared" si="1"/>
        <v>470917</v>
      </c>
      <c r="T13" s="4">
        <f t="shared" si="2"/>
        <v>482889</v>
      </c>
      <c r="U13" s="5">
        <f t="shared" si="4"/>
        <v>2.4792447125529884E-2</v>
      </c>
      <c r="V13" s="5">
        <f>Q13/R13</f>
        <v>0.18243092238927267</v>
      </c>
    </row>
    <row r="14" spans="1:22" x14ac:dyDescent="0.2">
      <c r="A14" s="3" t="s">
        <v>20</v>
      </c>
      <c r="B14" s="4">
        <f>SUM(B7:B13)</f>
        <v>560694</v>
      </c>
      <c r="C14" s="4">
        <f t="shared" ref="C14:N14" si="5">SUM(C7:C13)</f>
        <v>485860</v>
      </c>
      <c r="D14" s="4">
        <f t="shared" si="5"/>
        <v>31685</v>
      </c>
      <c r="E14" s="4">
        <f t="shared" si="5"/>
        <v>28551</v>
      </c>
      <c r="F14" s="4">
        <f t="shared" si="5"/>
        <v>19972</v>
      </c>
      <c r="G14" s="4">
        <f t="shared" si="5"/>
        <v>13575</v>
      </c>
      <c r="H14" s="4">
        <f t="shared" si="5"/>
        <v>10598</v>
      </c>
      <c r="I14" s="4">
        <f t="shared" si="5"/>
        <v>4402</v>
      </c>
      <c r="J14" s="4">
        <f t="shared" si="5"/>
        <v>4324</v>
      </c>
      <c r="K14" s="4">
        <f t="shared" si="5"/>
        <v>3813</v>
      </c>
      <c r="L14" s="4">
        <f t="shared" si="5"/>
        <v>3604</v>
      </c>
      <c r="M14" s="4">
        <f t="shared" si="5"/>
        <v>3067</v>
      </c>
      <c r="N14" s="4">
        <f t="shared" si="5"/>
        <v>2054</v>
      </c>
      <c r="O14" s="4">
        <f>SUM(O7:O13)</f>
        <v>13187</v>
      </c>
      <c r="P14" s="4">
        <f t="shared" ref="P14" si="6">SUM(P7:P13)</f>
        <v>30667</v>
      </c>
      <c r="Q14" s="4">
        <f>SUM(Q7:Q13)</f>
        <v>270421</v>
      </c>
      <c r="R14" s="4">
        <f>SUM(R7:R13)</f>
        <v>1486474</v>
      </c>
      <c r="S14" s="4">
        <f>SUM(S7:S13)</f>
        <v>1172199</v>
      </c>
      <c r="T14" s="4">
        <f>SUM(T7:T13)</f>
        <v>1216053</v>
      </c>
      <c r="U14" s="5">
        <f t="shared" si="4"/>
        <v>3.6062572930620623E-2</v>
      </c>
      <c r="V14" s="5">
        <f>Q14/R14</f>
        <v>0.18192110995550545</v>
      </c>
    </row>
    <row r="15" spans="1:22" x14ac:dyDescent="0.2">
      <c r="A15" s="3" t="s">
        <v>21</v>
      </c>
      <c r="B15" s="5">
        <f t="shared" ref="B15:N15" si="7">B14/$S$14</f>
        <v>0.47832663225271477</v>
      </c>
      <c r="C15" s="5">
        <f t="shared" si="7"/>
        <v>0.41448593626167568</v>
      </c>
      <c r="D15" s="5">
        <f t="shared" si="7"/>
        <v>2.7030393303526107E-2</v>
      </c>
      <c r="E15" s="5">
        <f t="shared" si="7"/>
        <v>2.4356785835852105E-2</v>
      </c>
      <c r="F15" s="5">
        <f t="shared" si="7"/>
        <v>1.7038062649771923E-2</v>
      </c>
      <c r="G15" s="5">
        <f t="shared" si="7"/>
        <v>1.1580798140929995E-2</v>
      </c>
      <c r="H15" s="5">
        <f t="shared" si="7"/>
        <v>9.0411269758803748E-3</v>
      </c>
      <c r="I15" s="5">
        <f t="shared" si="7"/>
        <v>3.7553350582964157E-3</v>
      </c>
      <c r="J15" s="5">
        <f t="shared" si="7"/>
        <v>3.6887934557186964E-3</v>
      </c>
      <c r="K15" s="5">
        <f t="shared" si="7"/>
        <v>3.2528606490877404E-3</v>
      </c>
      <c r="L15" s="5">
        <f t="shared" si="7"/>
        <v>3.0745632780782104E-3</v>
      </c>
      <c r="M15" s="5">
        <f t="shared" si="7"/>
        <v>2.6164499372546813E-3</v>
      </c>
      <c r="N15" s="5">
        <f t="shared" si="7"/>
        <v>1.7522622012132753E-3</v>
      </c>
      <c r="O15" s="11"/>
    </row>
    <row r="16" spans="1:22" x14ac:dyDescent="0.2">
      <c r="A16" s="3" t="s">
        <v>22</v>
      </c>
      <c r="B16" s="5">
        <v>0.52339999999999998</v>
      </c>
      <c r="C16" s="5">
        <v>0.45669999999999999</v>
      </c>
      <c r="D16" s="5">
        <v>5.5999999999999999E-3</v>
      </c>
      <c r="E16" s="12">
        <v>7.7000000000000002E-3</v>
      </c>
      <c r="F16" s="12">
        <v>4.7999999999999996E-3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1E-3</v>
      </c>
      <c r="N16" s="12">
        <v>0</v>
      </c>
      <c r="O16" s="11"/>
    </row>
    <row r="17" spans="1:15" s="2" customFormat="1" x14ac:dyDescent="0.2">
      <c r="A17" s="3" t="s">
        <v>23</v>
      </c>
      <c r="B17" s="7" t="str">
        <f>B6</f>
        <v>LIBERACIÓN NACIONAL</v>
      </c>
      <c r="C17" s="7" t="s">
        <v>77</v>
      </c>
      <c r="D17" s="7" t="str">
        <f>D6</f>
        <v>PUEBLO UNIDO COALICIÓN</v>
      </c>
      <c r="E17" s="7" t="str">
        <f t="shared" ref="E17:L17" si="8">E6</f>
        <v>COALICIÓN ALIANZA POPULAR</v>
      </c>
      <c r="F17" s="7" t="str">
        <f t="shared" si="8"/>
        <v>ALIANZA NACIONAL CRISTIANA</v>
      </c>
      <c r="G17" s="7" t="str">
        <f t="shared" si="8"/>
        <v>UNIÓN AGRÍCOLA CARTAGINÉS</v>
      </c>
      <c r="H17" s="7" t="str">
        <f t="shared" si="8"/>
        <v>REPUBLICANO NACIONAL</v>
      </c>
      <c r="I17" s="7" t="str">
        <f t="shared" si="8"/>
        <v>UNIÓN GENERALEÑA</v>
      </c>
      <c r="J17" s="7" t="str">
        <f t="shared" si="8"/>
        <v xml:space="preserve">ACCIÓN DEMOCRÁTICA ALAJUELENSE </v>
      </c>
      <c r="K17" s="7" t="str">
        <f t="shared" si="8"/>
        <v>AUTÉNTICO LIMONENSE</v>
      </c>
      <c r="L17" s="7" t="str">
        <f t="shared" si="8"/>
        <v>ALAJUELENSE SOLIDARIO</v>
      </c>
      <c r="M17" s="7" t="str">
        <f>M6</f>
        <v>INDEPENDIENTE</v>
      </c>
      <c r="N17" s="7" t="str">
        <f t="shared" ref="N17" si="9">N6</f>
        <v>NACIONAL DEMOCRÁTICO</v>
      </c>
      <c r="O17" s="13" t="s">
        <v>24</v>
      </c>
    </row>
    <row r="18" spans="1:15" x14ac:dyDescent="0.2">
      <c r="A18" s="3" t="s">
        <v>13</v>
      </c>
      <c r="B18" s="8">
        <v>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15">
        <f t="shared" ref="O18:O24" si="10">SUM(B18:N18)</f>
        <v>10</v>
      </c>
    </row>
    <row r="19" spans="1:15" x14ac:dyDescent="0.2">
      <c r="A19" s="3" t="s">
        <v>14</v>
      </c>
      <c r="B19" s="8">
        <v>3</v>
      </c>
      <c r="C19" s="8">
        <v>2</v>
      </c>
      <c r="D19" s="9">
        <v>0</v>
      </c>
      <c r="E19" s="9">
        <v>0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15">
        <f t="shared" si="10"/>
        <v>6</v>
      </c>
    </row>
    <row r="20" spans="1:15" x14ac:dyDescent="0.2">
      <c r="A20" s="3" t="s">
        <v>15</v>
      </c>
      <c r="B20" s="9">
        <v>3</v>
      </c>
      <c r="C20" s="8">
        <v>2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15">
        <f t="shared" si="10"/>
        <v>5</v>
      </c>
    </row>
    <row r="21" spans="1:15" x14ac:dyDescent="0.2">
      <c r="A21" s="3" t="s">
        <v>16</v>
      </c>
      <c r="B21" s="8">
        <v>3</v>
      </c>
      <c r="C21" s="8">
        <v>2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15">
        <f t="shared" si="10"/>
        <v>5</v>
      </c>
    </row>
    <row r="22" spans="1:15" x14ac:dyDescent="0.2">
      <c r="A22" s="3" t="s">
        <v>17</v>
      </c>
      <c r="B22" s="8">
        <v>2</v>
      </c>
      <c r="C22" s="8">
        <v>2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15">
        <f t="shared" si="10"/>
        <v>4</v>
      </c>
    </row>
    <row r="23" spans="1:15" x14ac:dyDescent="0.2">
      <c r="A23" s="3" t="s">
        <v>18</v>
      </c>
      <c r="B23" s="8">
        <v>3</v>
      </c>
      <c r="C23" s="8">
        <v>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15">
        <f t="shared" si="10"/>
        <v>6</v>
      </c>
    </row>
    <row r="24" spans="1:15" x14ac:dyDescent="0.2">
      <c r="A24" s="3" t="s">
        <v>19</v>
      </c>
      <c r="B24" s="8">
        <v>10</v>
      </c>
      <c r="C24" s="8">
        <v>9</v>
      </c>
      <c r="D24" s="8">
        <v>1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15">
        <f t="shared" si="10"/>
        <v>21</v>
      </c>
    </row>
    <row r="25" spans="1:15" x14ac:dyDescent="0.2">
      <c r="A25" s="3"/>
      <c r="B25" s="4">
        <f>SUM(B18:B24)</f>
        <v>29</v>
      </c>
      <c r="C25" s="4">
        <f t="shared" ref="C25:N25" si="11">SUM(C18:C24)</f>
        <v>25</v>
      </c>
      <c r="D25" s="4">
        <f>SUM(D18:D24)</f>
        <v>1</v>
      </c>
      <c r="E25" s="4">
        <f>SUM(E18:E24)</f>
        <v>1</v>
      </c>
      <c r="F25" s="4">
        <f t="shared" si="11"/>
        <v>0</v>
      </c>
      <c r="G25" s="4">
        <f t="shared" si="11"/>
        <v>1</v>
      </c>
      <c r="H25" s="4">
        <f t="shared" si="11"/>
        <v>0</v>
      </c>
      <c r="I25" s="4">
        <f t="shared" si="11"/>
        <v>0</v>
      </c>
      <c r="J25" s="4">
        <f t="shared" si="11"/>
        <v>0</v>
      </c>
      <c r="K25" s="4">
        <f t="shared" si="11"/>
        <v>0</v>
      </c>
      <c r="L25" s="4">
        <f t="shared" si="11"/>
        <v>0</v>
      </c>
      <c r="M25" s="4">
        <f t="shared" si="11"/>
        <v>0</v>
      </c>
      <c r="N25" s="4">
        <f t="shared" si="11"/>
        <v>0</v>
      </c>
      <c r="O25" s="4">
        <f>SUM(O18:O24)</f>
        <v>57</v>
      </c>
    </row>
  </sheetData>
  <mergeCells count="1">
    <mergeCell ref="A5:V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5:W27"/>
  <sheetViews>
    <sheetView workbookViewId="0"/>
  </sheetViews>
  <sheetFormatPr baseColWidth="10" defaultColWidth="8.83203125" defaultRowHeight="16" x14ac:dyDescent="0.2"/>
  <cols>
    <col min="1" max="1" width="25.5" customWidth="1"/>
    <col min="2" max="15" width="26.1640625" customWidth="1"/>
    <col min="16" max="16" width="24.6640625" customWidth="1"/>
    <col min="17" max="19" width="18.6640625" customWidth="1"/>
    <col min="20" max="20" width="16.6640625" customWidth="1"/>
    <col min="21" max="21" width="19" customWidth="1"/>
    <col min="22" max="22" width="17.6640625" customWidth="1"/>
    <col min="23" max="23" width="23.1640625" customWidth="1"/>
  </cols>
  <sheetData>
    <row r="5" spans="1:23" ht="42.75" customHeight="1" x14ac:dyDescent="0.2">
      <c r="A5" s="32">
        <v>1990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26.75" customHeight="1" x14ac:dyDescent="0.2">
      <c r="A6" s="22" t="s">
        <v>0</v>
      </c>
      <c r="B6" s="23" t="s">
        <v>77</v>
      </c>
      <c r="C6" s="23" t="s">
        <v>1</v>
      </c>
      <c r="D6" s="23" t="s">
        <v>56</v>
      </c>
      <c r="E6" s="23" t="s">
        <v>74</v>
      </c>
      <c r="F6" s="23" t="s">
        <v>73</v>
      </c>
      <c r="G6" s="23" t="s">
        <v>48</v>
      </c>
      <c r="H6" s="23" t="s">
        <v>50</v>
      </c>
      <c r="I6" s="23" t="s">
        <v>78</v>
      </c>
      <c r="J6" s="23" t="s">
        <v>76</v>
      </c>
      <c r="K6" s="23" t="s">
        <v>26</v>
      </c>
      <c r="L6" s="23" t="s">
        <v>59</v>
      </c>
      <c r="M6" s="23" t="s">
        <v>79</v>
      </c>
      <c r="N6" s="23" t="s">
        <v>80</v>
      </c>
      <c r="O6" s="23" t="s">
        <v>81</v>
      </c>
      <c r="P6" s="23" t="s">
        <v>5</v>
      </c>
      <c r="Q6" s="23" t="s">
        <v>6</v>
      </c>
      <c r="R6" s="23" t="s">
        <v>7</v>
      </c>
      <c r="S6" s="22" t="s">
        <v>8</v>
      </c>
      <c r="T6" s="22" t="s">
        <v>9</v>
      </c>
      <c r="U6" s="22" t="s">
        <v>10</v>
      </c>
      <c r="V6" s="22" t="s">
        <v>11</v>
      </c>
      <c r="W6" s="22" t="s">
        <v>12</v>
      </c>
    </row>
    <row r="7" spans="1:23" ht="26.75" customHeight="1" x14ac:dyDescent="0.2">
      <c r="A7" s="22" t="s">
        <v>13</v>
      </c>
      <c r="B7" s="21">
        <v>113942</v>
      </c>
      <c r="C7" s="21">
        <v>105608</v>
      </c>
      <c r="D7" s="21">
        <v>3469</v>
      </c>
      <c r="E7" s="21">
        <v>1343</v>
      </c>
      <c r="F7" s="21">
        <v>3431</v>
      </c>
      <c r="G7" s="21">
        <v>0</v>
      </c>
      <c r="H7" s="21">
        <v>1127</v>
      </c>
      <c r="I7" s="21">
        <v>941</v>
      </c>
      <c r="J7" s="21">
        <v>7330</v>
      </c>
      <c r="K7" s="21">
        <v>985</v>
      </c>
      <c r="L7" s="21">
        <v>0</v>
      </c>
      <c r="M7" s="21">
        <v>4756</v>
      </c>
      <c r="N7" s="21">
        <v>0</v>
      </c>
      <c r="O7" s="21">
        <v>0</v>
      </c>
      <c r="P7" s="21">
        <v>3138</v>
      </c>
      <c r="Q7" s="21">
        <v>5676</v>
      </c>
      <c r="R7" s="21">
        <v>44673</v>
      </c>
      <c r="S7" s="19">
        <f t="shared" ref="S7:S14" si="0">SUM(B7:R7)</f>
        <v>296419</v>
      </c>
      <c r="T7" s="19">
        <f t="shared" ref="T7:T14" si="1">SUM(B7:O7)</f>
        <v>242932</v>
      </c>
      <c r="U7" s="19">
        <f t="shared" ref="U7:U14" si="2">SUM(B7:Q7)</f>
        <v>251746</v>
      </c>
      <c r="V7" s="20">
        <f t="shared" ref="V7:V14" si="3">(U7-T7)/U7</f>
        <v>3.501147982490288E-2</v>
      </c>
      <c r="W7" s="20">
        <f t="shared" ref="W7:W14" si="4">R7/S7</f>
        <v>0.15070896265084222</v>
      </c>
    </row>
    <row r="8" spans="1:23" ht="26.75" customHeight="1" x14ac:dyDescent="0.2">
      <c r="A8" s="22" t="s">
        <v>14</v>
      </c>
      <c r="B8" s="21">
        <v>65980</v>
      </c>
      <c r="C8" s="21">
        <v>62149</v>
      </c>
      <c r="D8" s="21">
        <v>4133</v>
      </c>
      <c r="E8" s="21">
        <v>2408</v>
      </c>
      <c r="F8" s="21">
        <v>1455</v>
      </c>
      <c r="G8" s="21">
        <v>14190</v>
      </c>
      <c r="H8" s="21">
        <v>1296</v>
      </c>
      <c r="I8" s="21">
        <v>823</v>
      </c>
      <c r="J8" s="21">
        <v>0</v>
      </c>
      <c r="K8" s="21">
        <v>230</v>
      </c>
      <c r="L8" s="21">
        <v>0</v>
      </c>
      <c r="M8" s="21">
        <v>0</v>
      </c>
      <c r="N8" s="21">
        <v>0</v>
      </c>
      <c r="O8" s="21">
        <v>0</v>
      </c>
      <c r="P8" s="21">
        <v>1509</v>
      </c>
      <c r="Q8" s="21">
        <v>4776</v>
      </c>
      <c r="R8" s="21">
        <v>28020</v>
      </c>
      <c r="S8" s="19">
        <f t="shared" si="0"/>
        <v>186969</v>
      </c>
      <c r="T8" s="19">
        <f t="shared" si="1"/>
        <v>152664</v>
      </c>
      <c r="U8" s="19">
        <f t="shared" si="2"/>
        <v>158949</v>
      </c>
      <c r="V8" s="20">
        <f t="shared" si="3"/>
        <v>3.9540984844195305E-2</v>
      </c>
      <c r="W8" s="20">
        <f t="shared" si="4"/>
        <v>0.14986441602618616</v>
      </c>
    </row>
    <row r="9" spans="1:23" ht="26.75" customHeight="1" x14ac:dyDescent="0.2">
      <c r="A9" s="22" t="s">
        <v>15</v>
      </c>
      <c r="B9" s="21">
        <v>50408</v>
      </c>
      <c r="C9" s="21">
        <v>46016</v>
      </c>
      <c r="D9" s="21">
        <v>998</v>
      </c>
      <c r="E9" s="21">
        <v>572</v>
      </c>
      <c r="F9" s="21">
        <v>968</v>
      </c>
      <c r="G9" s="21">
        <v>0</v>
      </c>
      <c r="H9" s="21">
        <v>612</v>
      </c>
      <c r="I9" s="21">
        <v>104</v>
      </c>
      <c r="J9" s="21">
        <v>0</v>
      </c>
      <c r="K9" s="21">
        <v>105</v>
      </c>
      <c r="L9" s="21">
        <v>0</v>
      </c>
      <c r="M9" s="21">
        <v>0</v>
      </c>
      <c r="N9" s="21">
        <v>0</v>
      </c>
      <c r="O9" s="21">
        <v>0</v>
      </c>
      <c r="P9" s="21">
        <v>1120</v>
      </c>
      <c r="Q9" s="21">
        <v>2614</v>
      </c>
      <c r="R9" s="21">
        <v>20464</v>
      </c>
      <c r="S9" s="19">
        <f t="shared" si="0"/>
        <v>123981</v>
      </c>
      <c r="T9" s="19">
        <f t="shared" si="1"/>
        <v>99783</v>
      </c>
      <c r="U9" s="19">
        <f t="shared" si="2"/>
        <v>103517</v>
      </c>
      <c r="V9" s="20">
        <f t="shared" si="3"/>
        <v>3.6071369919916538E-2</v>
      </c>
      <c r="W9" s="20">
        <f t="shared" si="4"/>
        <v>0.16505754914059412</v>
      </c>
    </row>
    <row r="10" spans="1:23" ht="26.75" customHeight="1" x14ac:dyDescent="0.2">
      <c r="A10" s="22" t="s">
        <v>16</v>
      </c>
      <c r="B10" s="21">
        <v>54744</v>
      </c>
      <c r="C10" s="21">
        <v>50119</v>
      </c>
      <c r="D10" s="21">
        <v>5121</v>
      </c>
      <c r="E10" s="21">
        <v>2148</v>
      </c>
      <c r="F10" s="21">
        <v>2049</v>
      </c>
      <c r="G10" s="21">
        <v>0</v>
      </c>
      <c r="H10" s="21">
        <v>934</v>
      </c>
      <c r="I10" s="21">
        <v>1358</v>
      </c>
      <c r="J10" s="21">
        <v>0</v>
      </c>
      <c r="K10" s="21">
        <v>320</v>
      </c>
      <c r="L10" s="21">
        <v>0</v>
      </c>
      <c r="M10" s="21">
        <v>0</v>
      </c>
      <c r="N10" s="21">
        <v>0</v>
      </c>
      <c r="O10" s="21">
        <v>0</v>
      </c>
      <c r="P10" s="21">
        <v>1227</v>
      </c>
      <c r="Q10" s="21">
        <v>2195</v>
      </c>
      <c r="R10" s="21">
        <v>20995</v>
      </c>
      <c r="S10" s="19">
        <f t="shared" si="0"/>
        <v>141210</v>
      </c>
      <c r="T10" s="19">
        <f t="shared" si="1"/>
        <v>116793</v>
      </c>
      <c r="U10" s="19">
        <f t="shared" si="2"/>
        <v>120215</v>
      </c>
      <c r="V10" s="20">
        <f t="shared" si="3"/>
        <v>2.8465665682319178E-2</v>
      </c>
      <c r="W10" s="20">
        <f t="shared" si="4"/>
        <v>0.14867927200623185</v>
      </c>
    </row>
    <row r="11" spans="1:23" ht="26.75" customHeight="1" x14ac:dyDescent="0.2">
      <c r="A11" s="22" t="s">
        <v>17</v>
      </c>
      <c r="B11" s="21">
        <v>38655</v>
      </c>
      <c r="C11" s="21">
        <v>22692</v>
      </c>
      <c r="D11" s="21">
        <v>3170</v>
      </c>
      <c r="E11" s="21">
        <v>478</v>
      </c>
      <c r="F11" s="21">
        <v>1679</v>
      </c>
      <c r="G11" s="21">
        <v>0</v>
      </c>
      <c r="H11" s="21">
        <v>392</v>
      </c>
      <c r="I11" s="21">
        <v>409</v>
      </c>
      <c r="J11" s="21">
        <v>0</v>
      </c>
      <c r="K11" s="21">
        <v>118</v>
      </c>
      <c r="L11" s="21">
        <v>4901</v>
      </c>
      <c r="M11" s="21">
        <v>0</v>
      </c>
      <c r="N11" s="21">
        <v>4594</v>
      </c>
      <c r="O11" s="21">
        <v>0</v>
      </c>
      <c r="P11" s="21">
        <v>1364</v>
      </c>
      <c r="Q11" s="21">
        <v>3972</v>
      </c>
      <c r="R11" s="21">
        <v>32100</v>
      </c>
      <c r="S11" s="19">
        <f t="shared" si="0"/>
        <v>114524</v>
      </c>
      <c r="T11" s="19">
        <f t="shared" si="1"/>
        <v>77088</v>
      </c>
      <c r="U11" s="19">
        <f t="shared" si="2"/>
        <v>82424</v>
      </c>
      <c r="V11" s="20">
        <f t="shared" si="3"/>
        <v>6.4738425701252059E-2</v>
      </c>
      <c r="W11" s="20">
        <f t="shared" si="4"/>
        <v>0.28029059411127799</v>
      </c>
    </row>
    <row r="12" spans="1:23" ht="26.75" customHeight="1" x14ac:dyDescent="0.2">
      <c r="A12" s="22" t="s">
        <v>18</v>
      </c>
      <c r="B12" s="21">
        <v>58986</v>
      </c>
      <c r="C12" s="21">
        <v>45297</v>
      </c>
      <c r="D12" s="21">
        <v>3503</v>
      </c>
      <c r="E12" s="21">
        <v>5439</v>
      </c>
      <c r="F12" s="21">
        <v>2719</v>
      </c>
      <c r="G12" s="21">
        <v>0</v>
      </c>
      <c r="H12" s="21">
        <v>1471</v>
      </c>
      <c r="I12" s="21">
        <v>396</v>
      </c>
      <c r="J12" s="21">
        <v>0</v>
      </c>
      <c r="K12" s="21">
        <v>459</v>
      </c>
      <c r="L12" s="21">
        <v>0</v>
      </c>
      <c r="M12" s="21">
        <v>0</v>
      </c>
      <c r="N12" s="21">
        <v>0</v>
      </c>
      <c r="O12" s="21">
        <v>0</v>
      </c>
      <c r="P12" s="21">
        <v>1723</v>
      </c>
      <c r="Q12" s="21">
        <v>4615</v>
      </c>
      <c r="R12" s="21">
        <v>38419</v>
      </c>
      <c r="S12" s="19">
        <f t="shared" si="0"/>
        <v>163027</v>
      </c>
      <c r="T12" s="19">
        <f t="shared" si="1"/>
        <v>118270</v>
      </c>
      <c r="U12" s="19">
        <f t="shared" si="2"/>
        <v>124608</v>
      </c>
      <c r="V12" s="20">
        <f t="shared" si="3"/>
        <v>5.0863507960965587E-2</v>
      </c>
      <c r="W12" s="20">
        <f t="shared" si="4"/>
        <v>0.23566035073944808</v>
      </c>
    </row>
    <row r="13" spans="1:23" ht="26.75" customHeight="1" x14ac:dyDescent="0.2">
      <c r="A13" s="22" t="s">
        <v>19</v>
      </c>
      <c r="B13" s="21">
        <v>234763</v>
      </c>
      <c r="C13" s="21">
        <v>227751</v>
      </c>
      <c r="D13" s="21">
        <v>23767</v>
      </c>
      <c r="E13" s="21">
        <v>19919</v>
      </c>
      <c r="F13" s="21">
        <v>9848</v>
      </c>
      <c r="G13" s="21">
        <v>0</v>
      </c>
      <c r="H13" s="21">
        <v>4803</v>
      </c>
      <c r="I13" s="21">
        <v>3702</v>
      </c>
      <c r="J13" s="21">
        <v>0</v>
      </c>
      <c r="K13" s="21">
        <v>3347</v>
      </c>
      <c r="L13" s="21">
        <v>0</v>
      </c>
      <c r="M13" s="21">
        <v>0</v>
      </c>
      <c r="N13" s="21">
        <v>0</v>
      </c>
      <c r="O13" s="21">
        <v>742</v>
      </c>
      <c r="P13" s="21">
        <v>4980</v>
      </c>
      <c r="Q13" s="21">
        <v>8875</v>
      </c>
      <c r="R13" s="21">
        <v>123423</v>
      </c>
      <c r="S13" s="19">
        <f t="shared" si="0"/>
        <v>665920</v>
      </c>
      <c r="T13" s="19">
        <f t="shared" si="1"/>
        <v>528642</v>
      </c>
      <c r="U13" s="19">
        <f t="shared" si="2"/>
        <v>542497</v>
      </c>
      <c r="V13" s="20">
        <f t="shared" si="3"/>
        <v>2.5539311738129428E-2</v>
      </c>
      <c r="W13" s="20">
        <f t="shared" si="4"/>
        <v>0.18534208313310907</v>
      </c>
    </row>
    <row r="14" spans="1:23" ht="26.75" customHeight="1" x14ac:dyDescent="0.2">
      <c r="A14" s="22" t="s">
        <v>20</v>
      </c>
      <c r="B14" s="19">
        <f t="shared" ref="B14:R14" si="5">SUM(B7:B13)</f>
        <v>617478</v>
      </c>
      <c r="C14" s="19">
        <f t="shared" si="5"/>
        <v>559632</v>
      </c>
      <c r="D14" s="19">
        <f t="shared" si="5"/>
        <v>44161</v>
      </c>
      <c r="E14" s="19">
        <f t="shared" si="5"/>
        <v>32307</v>
      </c>
      <c r="F14" s="19">
        <f t="shared" si="5"/>
        <v>22149</v>
      </c>
      <c r="G14" s="19">
        <f t="shared" si="5"/>
        <v>14190</v>
      </c>
      <c r="H14" s="19">
        <f t="shared" si="5"/>
        <v>10635</v>
      </c>
      <c r="I14" s="19">
        <f t="shared" si="5"/>
        <v>7733</v>
      </c>
      <c r="J14" s="19">
        <f t="shared" si="5"/>
        <v>7330</v>
      </c>
      <c r="K14" s="19">
        <f t="shared" si="5"/>
        <v>5564</v>
      </c>
      <c r="L14" s="19">
        <f t="shared" si="5"/>
        <v>4901</v>
      </c>
      <c r="M14" s="19">
        <f t="shared" si="5"/>
        <v>4756</v>
      </c>
      <c r="N14" s="19">
        <f t="shared" si="5"/>
        <v>4594</v>
      </c>
      <c r="O14" s="19">
        <f t="shared" si="5"/>
        <v>742</v>
      </c>
      <c r="P14" s="19">
        <f t="shared" si="5"/>
        <v>15061</v>
      </c>
      <c r="Q14" s="19">
        <f t="shared" si="5"/>
        <v>32723</v>
      </c>
      <c r="R14" s="19">
        <f t="shared" si="5"/>
        <v>308094</v>
      </c>
      <c r="S14" s="19">
        <f t="shared" si="0"/>
        <v>1692050</v>
      </c>
      <c r="T14" s="19">
        <f t="shared" si="1"/>
        <v>1336172</v>
      </c>
      <c r="U14" s="19">
        <f t="shared" si="2"/>
        <v>1383956</v>
      </c>
      <c r="V14" s="20">
        <f t="shared" si="3"/>
        <v>3.4527109243357446E-2</v>
      </c>
      <c r="W14" s="20">
        <f t="shared" si="4"/>
        <v>0.18208327177092876</v>
      </c>
    </row>
    <row r="15" spans="1:23" ht="26.75" customHeight="1" x14ac:dyDescent="0.2">
      <c r="A15" s="22" t="s">
        <v>21</v>
      </c>
      <c r="B15" s="20">
        <f>B14/$T$14</f>
        <v>0.46212463664857517</v>
      </c>
      <c r="C15" s="20">
        <f t="shared" ref="C15:O15" si="6">C14/$T$14</f>
        <v>0.41883230602048238</v>
      </c>
      <c r="D15" s="20">
        <f t="shared" si="6"/>
        <v>3.3050385728783417E-2</v>
      </c>
      <c r="E15" s="20">
        <f t="shared" si="6"/>
        <v>2.4178773391449603E-2</v>
      </c>
      <c r="F15" s="20">
        <f t="shared" si="6"/>
        <v>1.6576458719386428E-2</v>
      </c>
      <c r="G15" s="20">
        <f t="shared" si="6"/>
        <v>1.0619890253649979E-2</v>
      </c>
      <c r="H15" s="20">
        <f t="shared" si="6"/>
        <v>7.9593046404205451E-3</v>
      </c>
      <c r="I15" s="20">
        <f t="shared" si="6"/>
        <v>5.7874285645859967E-3</v>
      </c>
      <c r="J15" s="20">
        <f t="shared" si="6"/>
        <v>5.4858206877557679E-3</v>
      </c>
      <c r="K15" s="20">
        <f t="shared" si="6"/>
        <v>4.1641345575270253E-3</v>
      </c>
      <c r="L15" s="20">
        <f t="shared" si="6"/>
        <v>3.6679409537095525E-3</v>
      </c>
      <c r="M15" s="20">
        <f t="shared" si="6"/>
        <v>3.559421990582051E-3</v>
      </c>
      <c r="N15" s="20">
        <f t="shared" si="6"/>
        <v>3.4381801145361526E-3</v>
      </c>
      <c r="O15" s="20">
        <f t="shared" si="6"/>
        <v>5.5531772855590446E-4</v>
      </c>
    </row>
    <row r="16" spans="1:23" ht="26.75" customHeight="1" x14ac:dyDescent="0.2">
      <c r="A16" s="22" t="s">
        <v>22</v>
      </c>
      <c r="B16" s="20">
        <v>0.5151</v>
      </c>
      <c r="C16" s="20">
        <v>0.47199999999999998</v>
      </c>
      <c r="D16" s="20">
        <v>6.6E-3</v>
      </c>
      <c r="E16" s="20">
        <v>0</v>
      </c>
      <c r="F16" s="20">
        <v>3.0999999999999999E-3</v>
      </c>
      <c r="G16" s="20">
        <v>0</v>
      </c>
      <c r="H16" s="20">
        <v>0</v>
      </c>
      <c r="I16" s="20">
        <v>1.9E-3</v>
      </c>
      <c r="J16" s="20">
        <v>0</v>
      </c>
      <c r="K16" s="20">
        <v>5.9999999999999995E-4</v>
      </c>
      <c r="L16" s="20">
        <v>0</v>
      </c>
      <c r="M16" s="20">
        <v>0</v>
      </c>
      <c r="N16" s="20">
        <v>0</v>
      </c>
      <c r="O16" s="20">
        <v>6.9999999999999999E-4</v>
      </c>
    </row>
    <row r="17" spans="1:23" ht="26.75" customHeight="1" x14ac:dyDescent="0.2">
      <c r="A17" s="22" t="s">
        <v>23</v>
      </c>
      <c r="B17" s="23" t="str">
        <f t="shared" ref="B17:O17" si="7">B6</f>
        <v>UNIDAD SOCIAL CRISTIANA</v>
      </c>
      <c r="C17" s="23" t="str">
        <f t="shared" si="7"/>
        <v>LIBERACIÓN NACIONAL</v>
      </c>
      <c r="D17" s="23" t="str">
        <f t="shared" si="7"/>
        <v>PUEBLO UNIDO COALICIÓN</v>
      </c>
      <c r="E17" s="23" t="str">
        <f t="shared" si="7"/>
        <v>UNIÓN GENERALEÑA</v>
      </c>
      <c r="F17" s="23" t="str">
        <f t="shared" si="7"/>
        <v>ALIANZA NACIONAL CRISTIANA</v>
      </c>
      <c r="G17" s="23" t="str">
        <f t="shared" si="7"/>
        <v>UNIÓN AGRÍCOLA CARTAGINÉS</v>
      </c>
      <c r="H17" s="23" t="str">
        <f t="shared" si="7"/>
        <v>NACIONAL INDEPENDIENTE</v>
      </c>
      <c r="I17" s="23" t="str">
        <f t="shared" si="7"/>
        <v>DEL PROGRESO</v>
      </c>
      <c r="J17" s="23" t="str">
        <f t="shared" si="7"/>
        <v>ALAJUELENSE SOLIDARIO</v>
      </c>
      <c r="K17" s="23" t="str">
        <f t="shared" si="7"/>
        <v>INDEPENDIENTE</v>
      </c>
      <c r="L17" s="23" t="str">
        <f t="shared" si="7"/>
        <v>AUTÉNTICO LIMONENSE</v>
      </c>
      <c r="M17" s="23" t="str">
        <f t="shared" si="7"/>
        <v>ACCIÓN LABORISTA AGRÍCOLA</v>
      </c>
      <c r="N17" s="23" t="str">
        <f t="shared" si="7"/>
        <v>AGRARIO NACIONAL</v>
      </c>
      <c r="O17" s="23" t="str">
        <f t="shared" si="7"/>
        <v>REVOLUCIONARIO DE LOS TRABAJADORES EN LUCHA</v>
      </c>
      <c r="P17" s="22" t="s">
        <v>24</v>
      </c>
    </row>
    <row r="18" spans="1:23" ht="26.75" customHeight="1" x14ac:dyDescent="0.2">
      <c r="A18" s="22" t="s">
        <v>13</v>
      </c>
      <c r="B18" s="21">
        <v>5</v>
      </c>
      <c r="C18" s="21">
        <v>5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19">
        <f t="shared" ref="P18:P24" si="8">SUM(B18:O18)</f>
        <v>10</v>
      </c>
    </row>
    <row r="19" spans="1:23" ht="26.75" customHeight="1" x14ac:dyDescent="0.2">
      <c r="A19" s="22" t="s">
        <v>14</v>
      </c>
      <c r="B19" s="21">
        <v>3</v>
      </c>
      <c r="C19" s="21">
        <v>2</v>
      </c>
      <c r="D19" s="21">
        <v>0</v>
      </c>
      <c r="E19" s="21">
        <v>0</v>
      </c>
      <c r="F19" s="21">
        <v>0</v>
      </c>
      <c r="G19" s="21">
        <v>1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19">
        <f t="shared" si="8"/>
        <v>6</v>
      </c>
    </row>
    <row r="20" spans="1:23" ht="26.75" customHeight="1" x14ac:dyDescent="0.2">
      <c r="A20" s="22" t="s">
        <v>15</v>
      </c>
      <c r="B20" s="21">
        <v>3</v>
      </c>
      <c r="C20" s="21">
        <v>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19">
        <f t="shared" si="8"/>
        <v>5</v>
      </c>
    </row>
    <row r="21" spans="1:23" ht="26.75" customHeight="1" x14ac:dyDescent="0.2">
      <c r="A21" s="22" t="s">
        <v>16</v>
      </c>
      <c r="B21" s="21">
        <v>3</v>
      </c>
      <c r="C21" s="21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19">
        <f t="shared" si="8"/>
        <v>5</v>
      </c>
    </row>
    <row r="22" spans="1:23" ht="26.75" customHeight="1" x14ac:dyDescent="0.2">
      <c r="A22" s="22" t="s">
        <v>17</v>
      </c>
      <c r="B22" s="21">
        <v>2</v>
      </c>
      <c r="C22" s="21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19">
        <f t="shared" si="8"/>
        <v>4</v>
      </c>
    </row>
    <row r="23" spans="1:23" ht="26.75" customHeight="1" x14ac:dyDescent="0.2">
      <c r="A23" s="22" t="s">
        <v>18</v>
      </c>
      <c r="B23" s="21">
        <v>3</v>
      </c>
      <c r="C23" s="21">
        <v>3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19">
        <f t="shared" si="8"/>
        <v>6</v>
      </c>
    </row>
    <row r="24" spans="1:23" ht="26.75" customHeight="1" x14ac:dyDescent="0.2">
      <c r="A24" s="22" t="s">
        <v>19</v>
      </c>
      <c r="B24" s="21">
        <v>10</v>
      </c>
      <c r="C24" s="21">
        <v>9</v>
      </c>
      <c r="D24" s="21">
        <v>1</v>
      </c>
      <c r="E24" s="21">
        <v>1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19">
        <f t="shared" si="8"/>
        <v>21</v>
      </c>
    </row>
    <row r="25" spans="1:23" ht="26.75" customHeight="1" x14ac:dyDescent="0.2">
      <c r="A25" s="18"/>
      <c r="B25" s="19">
        <f t="shared" ref="B25:P25" si="9">SUM(B18:B24)</f>
        <v>29</v>
      </c>
      <c r="C25" s="19">
        <f t="shared" si="9"/>
        <v>25</v>
      </c>
      <c r="D25" s="19">
        <f t="shared" si="9"/>
        <v>1</v>
      </c>
      <c r="E25" s="19">
        <f t="shared" si="9"/>
        <v>1</v>
      </c>
      <c r="F25" s="19">
        <f t="shared" si="9"/>
        <v>0</v>
      </c>
      <c r="G25" s="19">
        <f t="shared" si="9"/>
        <v>1</v>
      </c>
      <c r="H25" s="19">
        <f t="shared" si="9"/>
        <v>0</v>
      </c>
      <c r="I25" s="19">
        <f t="shared" si="9"/>
        <v>0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57</v>
      </c>
    </row>
    <row r="27" spans="1:23" ht="53.25" customHeight="1" x14ac:dyDescent="0.2">
      <c r="A27" s="33" t="s">
        <v>82</v>
      </c>
      <c r="B27" s="33">
        <v>0.52339999999999998</v>
      </c>
      <c r="C27" s="33">
        <v>0.45669999999999999</v>
      </c>
      <c r="D27" s="33">
        <v>5.5999999999999999E-3</v>
      </c>
      <c r="E27" s="33">
        <v>7.7000000000000002E-3</v>
      </c>
      <c r="F27" s="33">
        <v>4.7999999999999996E-3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1E-3</v>
      </c>
      <c r="N27" s="33">
        <v>0</v>
      </c>
      <c r="O27" s="33"/>
      <c r="P27" s="33"/>
      <c r="Q27" s="33"/>
      <c r="R27" s="33"/>
      <c r="S27" s="33"/>
      <c r="T27" s="33"/>
      <c r="U27" s="33"/>
      <c r="V27" s="33"/>
      <c r="W27" s="33"/>
    </row>
  </sheetData>
  <mergeCells count="2">
    <mergeCell ref="A5:W5"/>
    <mergeCell ref="A27:W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5:X27"/>
  <sheetViews>
    <sheetView workbookViewId="0"/>
  </sheetViews>
  <sheetFormatPr baseColWidth="10" defaultColWidth="8.83203125" defaultRowHeight="16" x14ac:dyDescent="0.2"/>
  <cols>
    <col min="1" max="1" width="25.5" customWidth="1"/>
    <col min="2" max="16" width="26.1640625" customWidth="1"/>
    <col min="17" max="17" width="24.6640625" customWidth="1"/>
    <col min="18" max="20" width="18.6640625" customWidth="1"/>
    <col min="21" max="21" width="16.6640625" customWidth="1"/>
    <col min="22" max="22" width="19" customWidth="1"/>
    <col min="23" max="23" width="17.6640625" customWidth="1"/>
    <col min="24" max="24" width="23.1640625" customWidth="1"/>
  </cols>
  <sheetData>
    <row r="5" spans="1:24" ht="42.75" customHeight="1" x14ac:dyDescent="0.2">
      <c r="A5" s="32">
        <v>1994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26.75" customHeight="1" x14ac:dyDescent="0.2">
      <c r="A6" s="22" t="s">
        <v>0</v>
      </c>
      <c r="B6" s="23" t="s">
        <v>1</v>
      </c>
      <c r="C6" s="23" t="s">
        <v>77</v>
      </c>
      <c r="D6" s="23" t="s">
        <v>83</v>
      </c>
      <c r="E6" s="23" t="s">
        <v>74</v>
      </c>
      <c r="F6" s="23" t="s">
        <v>73</v>
      </c>
      <c r="G6" s="23" t="s">
        <v>84</v>
      </c>
      <c r="H6" s="23" t="s">
        <v>48</v>
      </c>
      <c r="I6" s="23" t="s">
        <v>80</v>
      </c>
      <c r="J6" s="23" t="s">
        <v>50</v>
      </c>
      <c r="K6" s="23" t="s">
        <v>65</v>
      </c>
      <c r="L6" s="23" t="s">
        <v>26</v>
      </c>
      <c r="M6" s="23" t="s">
        <v>59</v>
      </c>
      <c r="N6" s="23" t="s">
        <v>79</v>
      </c>
      <c r="O6" s="23" t="s">
        <v>85</v>
      </c>
      <c r="P6" s="23" t="s">
        <v>86</v>
      </c>
      <c r="Q6" s="23" t="s">
        <v>5</v>
      </c>
      <c r="R6" s="23" t="s">
        <v>6</v>
      </c>
      <c r="S6" s="23" t="s">
        <v>7</v>
      </c>
      <c r="T6" s="22" t="s">
        <v>8</v>
      </c>
      <c r="U6" s="22" t="s">
        <v>9</v>
      </c>
      <c r="V6" s="22" t="s">
        <v>10</v>
      </c>
      <c r="W6" s="22" t="s">
        <v>11</v>
      </c>
      <c r="X6" s="22" t="s">
        <v>12</v>
      </c>
    </row>
    <row r="7" spans="1:24" ht="26.75" customHeight="1" x14ac:dyDescent="0.2">
      <c r="A7" s="22" t="s">
        <v>13</v>
      </c>
      <c r="B7" s="21">
        <v>124538</v>
      </c>
      <c r="C7" s="21">
        <v>110839</v>
      </c>
      <c r="D7" s="21">
        <v>9214</v>
      </c>
      <c r="E7" s="21">
        <v>1082</v>
      </c>
      <c r="F7" s="21">
        <v>3095</v>
      </c>
      <c r="G7" s="21">
        <v>1656</v>
      </c>
      <c r="H7" s="21">
        <v>0</v>
      </c>
      <c r="I7" s="21">
        <v>0</v>
      </c>
      <c r="J7" s="21">
        <v>943</v>
      </c>
      <c r="K7" s="21">
        <v>11630</v>
      </c>
      <c r="L7" s="21">
        <v>1805</v>
      </c>
      <c r="M7" s="21">
        <v>0</v>
      </c>
      <c r="N7" s="21">
        <v>3859</v>
      </c>
      <c r="O7" s="21">
        <v>0</v>
      </c>
      <c r="P7" s="21">
        <v>0</v>
      </c>
      <c r="Q7" s="21">
        <v>3665</v>
      </c>
      <c r="R7" s="21">
        <v>5868</v>
      </c>
      <c r="S7" s="21">
        <v>51359</v>
      </c>
      <c r="T7" s="19">
        <f t="shared" ref="T7:T14" si="0">SUM(B7:S7)</f>
        <v>329553</v>
      </c>
      <c r="U7" s="19">
        <f t="shared" ref="U7:U14" si="1">SUM(B7:P7)</f>
        <v>268661</v>
      </c>
      <c r="V7" s="19">
        <f t="shared" ref="V7:V14" si="2">SUM(B7:R7)</f>
        <v>278194</v>
      </c>
      <c r="W7" s="20">
        <f t="shared" ref="W7:W14" si="3">(V7-U7)/V7</f>
        <v>3.4267453647454656E-2</v>
      </c>
      <c r="X7" s="20">
        <f t="shared" ref="X7:X14" si="4">S7/T7</f>
        <v>0.15584443169990866</v>
      </c>
    </row>
    <row r="8" spans="1:24" ht="26.75" customHeight="1" x14ac:dyDescent="0.2">
      <c r="A8" s="22" t="s">
        <v>14</v>
      </c>
      <c r="B8" s="21">
        <v>74975</v>
      </c>
      <c r="C8" s="21">
        <v>64394</v>
      </c>
      <c r="D8" s="21">
        <v>5778</v>
      </c>
      <c r="E8" s="21">
        <v>4216</v>
      </c>
      <c r="F8" s="21">
        <v>1506</v>
      </c>
      <c r="G8" s="21">
        <v>1131</v>
      </c>
      <c r="H8" s="21">
        <v>16336</v>
      </c>
      <c r="I8" s="21">
        <v>0</v>
      </c>
      <c r="J8" s="21">
        <v>1045</v>
      </c>
      <c r="K8" s="21">
        <v>0</v>
      </c>
      <c r="L8" s="21">
        <v>423</v>
      </c>
      <c r="M8" s="21">
        <v>0</v>
      </c>
      <c r="N8" s="21">
        <v>0</v>
      </c>
      <c r="O8" s="21">
        <v>0</v>
      </c>
      <c r="P8" s="21">
        <v>864</v>
      </c>
      <c r="Q8" s="21">
        <v>1839</v>
      </c>
      <c r="R8" s="21">
        <v>4385</v>
      </c>
      <c r="S8" s="21">
        <v>34415</v>
      </c>
      <c r="T8" s="19">
        <f t="shared" si="0"/>
        <v>211307</v>
      </c>
      <c r="U8" s="19">
        <f t="shared" si="1"/>
        <v>170668</v>
      </c>
      <c r="V8" s="19">
        <f t="shared" si="2"/>
        <v>176892</v>
      </c>
      <c r="W8" s="20">
        <f t="shared" si="3"/>
        <v>3.5185310811116387E-2</v>
      </c>
      <c r="X8" s="20">
        <f t="shared" si="4"/>
        <v>0.1628672973446218</v>
      </c>
    </row>
    <row r="9" spans="1:24" ht="26.75" customHeight="1" x14ac:dyDescent="0.2">
      <c r="A9" s="22" t="s">
        <v>15</v>
      </c>
      <c r="B9" s="21">
        <v>50115</v>
      </c>
      <c r="C9" s="21">
        <v>46717</v>
      </c>
      <c r="D9" s="21">
        <v>1995</v>
      </c>
      <c r="E9" s="21">
        <v>779</v>
      </c>
      <c r="F9" s="21">
        <v>652</v>
      </c>
      <c r="G9" s="21">
        <v>0</v>
      </c>
      <c r="H9" s="21">
        <v>0</v>
      </c>
      <c r="I9" s="21">
        <v>0</v>
      </c>
      <c r="J9" s="21">
        <v>460</v>
      </c>
      <c r="K9" s="21">
        <v>0</v>
      </c>
      <c r="L9" s="21">
        <v>2555</v>
      </c>
      <c r="M9" s="21">
        <v>0</v>
      </c>
      <c r="N9" s="21">
        <v>0</v>
      </c>
      <c r="O9" s="21">
        <v>2843</v>
      </c>
      <c r="P9" s="21">
        <v>0</v>
      </c>
      <c r="Q9" s="21">
        <v>1185</v>
      </c>
      <c r="R9" s="21">
        <v>3489</v>
      </c>
      <c r="S9" s="21">
        <v>20887</v>
      </c>
      <c r="T9" s="19">
        <f t="shared" si="0"/>
        <v>131677</v>
      </c>
      <c r="U9" s="19">
        <f t="shared" si="1"/>
        <v>106116</v>
      </c>
      <c r="V9" s="19">
        <f t="shared" si="2"/>
        <v>110790</v>
      </c>
      <c r="W9" s="20">
        <f t="shared" si="3"/>
        <v>4.2187923097752503E-2</v>
      </c>
      <c r="X9" s="20">
        <f t="shared" si="4"/>
        <v>0.15862299414476333</v>
      </c>
    </row>
    <row r="10" spans="1:24" ht="26.75" customHeight="1" x14ac:dyDescent="0.2">
      <c r="A10" s="22" t="s">
        <v>16</v>
      </c>
      <c r="B10" s="21">
        <v>61462</v>
      </c>
      <c r="C10" s="21">
        <v>54764</v>
      </c>
      <c r="D10" s="21">
        <v>10520</v>
      </c>
      <c r="E10" s="21">
        <v>2317</v>
      </c>
      <c r="F10" s="21">
        <v>1575</v>
      </c>
      <c r="G10" s="21">
        <v>1712</v>
      </c>
      <c r="H10" s="21">
        <v>0</v>
      </c>
      <c r="I10" s="21">
        <v>0</v>
      </c>
      <c r="J10" s="21">
        <v>689</v>
      </c>
      <c r="K10" s="21">
        <v>0</v>
      </c>
      <c r="L10" s="21">
        <v>771</v>
      </c>
      <c r="M10" s="21">
        <v>0</v>
      </c>
      <c r="N10" s="21">
        <v>0</v>
      </c>
      <c r="O10" s="21">
        <v>0</v>
      </c>
      <c r="P10" s="21">
        <v>0</v>
      </c>
      <c r="Q10" s="21">
        <v>1346</v>
      </c>
      <c r="R10" s="21">
        <v>2054</v>
      </c>
      <c r="S10" s="21">
        <v>26009</v>
      </c>
      <c r="T10" s="19">
        <f t="shared" si="0"/>
        <v>163219</v>
      </c>
      <c r="U10" s="19">
        <f t="shared" si="1"/>
        <v>133810</v>
      </c>
      <c r="V10" s="19">
        <f t="shared" si="2"/>
        <v>137210</v>
      </c>
      <c r="W10" s="20">
        <f t="shared" si="3"/>
        <v>2.4779535019313462E-2</v>
      </c>
      <c r="X10" s="20">
        <f t="shared" si="4"/>
        <v>0.15935032073471839</v>
      </c>
    </row>
    <row r="11" spans="1:24" ht="26.75" customHeight="1" x14ac:dyDescent="0.2">
      <c r="A11" s="22" t="s">
        <v>17</v>
      </c>
      <c r="B11" s="21">
        <v>34786</v>
      </c>
      <c r="C11" s="21">
        <v>35064</v>
      </c>
      <c r="D11" s="21">
        <v>904</v>
      </c>
      <c r="E11" s="21">
        <v>437</v>
      </c>
      <c r="F11" s="21">
        <v>1208</v>
      </c>
      <c r="G11" s="21">
        <v>2372</v>
      </c>
      <c r="H11" s="21">
        <v>0</v>
      </c>
      <c r="I11" s="21">
        <v>13589</v>
      </c>
      <c r="J11" s="21">
        <v>338</v>
      </c>
      <c r="K11" s="21">
        <v>0</v>
      </c>
      <c r="L11" s="21">
        <v>244</v>
      </c>
      <c r="M11" s="21">
        <v>5468</v>
      </c>
      <c r="N11" s="21">
        <v>0</v>
      </c>
      <c r="O11" s="21">
        <v>0</v>
      </c>
      <c r="P11" s="21">
        <v>0</v>
      </c>
      <c r="Q11" s="21">
        <v>1586</v>
      </c>
      <c r="R11" s="21">
        <v>5047</v>
      </c>
      <c r="S11" s="21">
        <v>36624</v>
      </c>
      <c r="T11" s="19">
        <f t="shared" si="0"/>
        <v>137667</v>
      </c>
      <c r="U11" s="19">
        <f t="shared" si="1"/>
        <v>94410</v>
      </c>
      <c r="V11" s="19">
        <f t="shared" si="2"/>
        <v>101043</v>
      </c>
      <c r="W11" s="20">
        <f t="shared" si="3"/>
        <v>6.5645319319497644E-2</v>
      </c>
      <c r="X11" s="20">
        <f t="shared" si="4"/>
        <v>0.26603325415676959</v>
      </c>
    </row>
    <row r="12" spans="1:24" ht="26.75" customHeight="1" x14ac:dyDescent="0.2">
      <c r="A12" s="22" t="s">
        <v>18</v>
      </c>
      <c r="B12" s="21">
        <v>58519</v>
      </c>
      <c r="C12" s="21">
        <v>55733</v>
      </c>
      <c r="D12" s="21">
        <v>2368</v>
      </c>
      <c r="E12" s="21">
        <v>3180</v>
      </c>
      <c r="F12" s="21">
        <v>4248</v>
      </c>
      <c r="G12" s="21">
        <v>2609</v>
      </c>
      <c r="H12" s="21">
        <v>0</v>
      </c>
      <c r="I12" s="21">
        <v>0</v>
      </c>
      <c r="J12" s="21">
        <v>707</v>
      </c>
      <c r="K12" s="21">
        <v>0</v>
      </c>
      <c r="L12" s="21">
        <v>384</v>
      </c>
      <c r="M12" s="21">
        <v>0</v>
      </c>
      <c r="N12" s="21">
        <v>0</v>
      </c>
      <c r="O12" s="21">
        <v>0</v>
      </c>
      <c r="P12" s="21">
        <v>0</v>
      </c>
      <c r="Q12" s="21">
        <v>1883</v>
      </c>
      <c r="R12" s="21">
        <v>4827</v>
      </c>
      <c r="S12" s="21">
        <v>39742</v>
      </c>
      <c r="T12" s="19">
        <f t="shared" si="0"/>
        <v>174200</v>
      </c>
      <c r="U12" s="19">
        <f t="shared" si="1"/>
        <v>127748</v>
      </c>
      <c r="V12" s="19">
        <f t="shared" si="2"/>
        <v>134458</v>
      </c>
      <c r="W12" s="20">
        <f t="shared" si="3"/>
        <v>4.9904059260140715E-2</v>
      </c>
      <c r="X12" s="20">
        <f t="shared" si="4"/>
        <v>0.22814006888633753</v>
      </c>
    </row>
    <row r="13" spans="1:24" ht="26.75" customHeight="1" x14ac:dyDescent="0.2">
      <c r="A13" s="22" t="s">
        <v>19</v>
      </c>
      <c r="B13" s="21">
        <v>253863</v>
      </c>
      <c r="C13" s="21">
        <v>228291</v>
      </c>
      <c r="D13" s="21">
        <v>47675</v>
      </c>
      <c r="E13" s="21">
        <v>13409</v>
      </c>
      <c r="F13" s="21">
        <v>8780</v>
      </c>
      <c r="G13" s="21">
        <v>10546</v>
      </c>
      <c r="H13" s="21">
        <v>0</v>
      </c>
      <c r="I13" s="21">
        <v>0</v>
      </c>
      <c r="J13" s="21">
        <v>8585</v>
      </c>
      <c r="K13" s="21">
        <v>0</v>
      </c>
      <c r="L13" s="21">
        <v>3031</v>
      </c>
      <c r="M13" s="21">
        <v>0</v>
      </c>
      <c r="N13" s="21">
        <v>0</v>
      </c>
      <c r="O13" s="21">
        <v>0</v>
      </c>
      <c r="P13" s="21">
        <v>0</v>
      </c>
      <c r="Q13" s="21">
        <v>4825</v>
      </c>
      <c r="R13" s="21">
        <v>8032</v>
      </c>
      <c r="S13" s="21">
        <v>146688</v>
      </c>
      <c r="T13" s="19">
        <f t="shared" si="0"/>
        <v>733725</v>
      </c>
      <c r="U13" s="19">
        <f t="shared" si="1"/>
        <v>574180</v>
      </c>
      <c r="V13" s="19">
        <f t="shared" si="2"/>
        <v>587037</v>
      </c>
      <c r="W13" s="20">
        <f t="shared" si="3"/>
        <v>2.1901515577382687E-2</v>
      </c>
      <c r="X13" s="20">
        <f t="shared" si="4"/>
        <v>0.19992231421854237</v>
      </c>
    </row>
    <row r="14" spans="1:24" ht="26.75" customHeight="1" x14ac:dyDescent="0.2">
      <c r="A14" s="22" t="s">
        <v>20</v>
      </c>
      <c r="B14" s="19">
        <f t="shared" ref="B14:S14" si="5">SUM(B7:B13)</f>
        <v>658258</v>
      </c>
      <c r="C14" s="19">
        <f t="shared" si="5"/>
        <v>595802</v>
      </c>
      <c r="D14" s="19">
        <f t="shared" si="5"/>
        <v>78454</v>
      </c>
      <c r="E14" s="19">
        <f t="shared" si="5"/>
        <v>25420</v>
      </c>
      <c r="F14" s="19">
        <f t="shared" si="5"/>
        <v>21064</v>
      </c>
      <c r="G14" s="19">
        <f t="shared" si="5"/>
        <v>20026</v>
      </c>
      <c r="H14" s="19">
        <f t="shared" si="5"/>
        <v>16336</v>
      </c>
      <c r="I14" s="19">
        <f t="shared" si="5"/>
        <v>13589</v>
      </c>
      <c r="J14" s="19">
        <f t="shared" si="5"/>
        <v>12767</v>
      </c>
      <c r="K14" s="19">
        <f t="shared" si="5"/>
        <v>11630</v>
      </c>
      <c r="L14" s="19">
        <f t="shared" si="5"/>
        <v>9213</v>
      </c>
      <c r="M14" s="19">
        <f t="shared" si="5"/>
        <v>5468</v>
      </c>
      <c r="N14" s="19">
        <f t="shared" si="5"/>
        <v>3859</v>
      </c>
      <c r="O14" s="19">
        <f t="shared" si="5"/>
        <v>2843</v>
      </c>
      <c r="P14" s="19">
        <f t="shared" si="5"/>
        <v>864</v>
      </c>
      <c r="Q14" s="19">
        <f t="shared" si="5"/>
        <v>16329</v>
      </c>
      <c r="R14" s="19">
        <f t="shared" si="5"/>
        <v>33702</v>
      </c>
      <c r="S14" s="19">
        <f t="shared" si="5"/>
        <v>355724</v>
      </c>
      <c r="T14" s="19">
        <f t="shared" si="0"/>
        <v>1881348</v>
      </c>
      <c r="U14" s="19">
        <f t="shared" si="1"/>
        <v>1475593</v>
      </c>
      <c r="V14" s="19">
        <f t="shared" si="2"/>
        <v>1525624</v>
      </c>
      <c r="W14" s="20">
        <f t="shared" si="3"/>
        <v>3.2793794539152502E-2</v>
      </c>
      <c r="X14" s="20">
        <f t="shared" si="4"/>
        <v>0.18907931972181649</v>
      </c>
    </row>
    <row r="15" spans="1:24" ht="26.75" customHeight="1" x14ac:dyDescent="0.2">
      <c r="A15" s="22" t="s">
        <v>21</v>
      </c>
      <c r="B15" s="20">
        <f t="shared" ref="B15:P15" si="6">B14/$U$14</f>
        <v>0.44609726394744348</v>
      </c>
      <c r="C15" s="20">
        <f t="shared" si="6"/>
        <v>0.40377122960057416</v>
      </c>
      <c r="D15" s="20">
        <f t="shared" si="6"/>
        <v>5.3167777293603315E-2</v>
      </c>
      <c r="E15" s="20">
        <f t="shared" si="6"/>
        <v>1.7226972478183347E-2</v>
      </c>
      <c r="F15" s="20">
        <f t="shared" si="6"/>
        <v>1.4274938956744847E-2</v>
      </c>
      <c r="G15" s="20">
        <f t="shared" si="6"/>
        <v>1.357149295232493E-2</v>
      </c>
      <c r="H15" s="20">
        <f t="shared" si="6"/>
        <v>1.1070803399040251E-2</v>
      </c>
      <c r="I15" s="20">
        <f t="shared" si="6"/>
        <v>9.2091789538172111E-3</v>
      </c>
      <c r="J15" s="20">
        <f t="shared" si="6"/>
        <v>8.6521147769066404E-3</v>
      </c>
      <c r="K15" s="20">
        <f t="shared" si="6"/>
        <v>7.8815771015449381E-3</v>
      </c>
      <c r="L15" s="20">
        <f t="shared" si="6"/>
        <v>6.2435915594611794E-3</v>
      </c>
      <c r="M15" s="20">
        <f t="shared" si="6"/>
        <v>3.7056288556532864E-3</v>
      </c>
      <c r="N15" s="20">
        <f t="shared" si="6"/>
        <v>2.6152197794378261E-3</v>
      </c>
      <c r="O15" s="20">
        <f t="shared" si="6"/>
        <v>1.9266830352271933E-3</v>
      </c>
      <c r="P15" s="20">
        <f t="shared" si="6"/>
        <v>5.8552731003738831E-4</v>
      </c>
    </row>
    <row r="16" spans="1:24" ht="26.75" customHeight="1" x14ac:dyDescent="0.2">
      <c r="A16" s="22" t="s">
        <v>22</v>
      </c>
      <c r="B16" s="20">
        <v>0.49619999999999997</v>
      </c>
      <c r="C16" s="20">
        <v>0.47739999999999999</v>
      </c>
      <c r="D16" s="20">
        <v>1.9E-2</v>
      </c>
      <c r="E16" s="20">
        <v>0</v>
      </c>
      <c r="F16" s="20">
        <v>3.3E-3</v>
      </c>
      <c r="G16" s="20">
        <v>0</v>
      </c>
      <c r="H16" s="20">
        <v>0</v>
      </c>
      <c r="I16" s="20">
        <v>0</v>
      </c>
      <c r="J16" s="20">
        <v>1.6000000000000001E-3</v>
      </c>
      <c r="K16" s="20">
        <v>0</v>
      </c>
      <c r="L16" s="20">
        <v>1.1000000000000001E-3</v>
      </c>
      <c r="M16" s="20">
        <v>0</v>
      </c>
      <c r="N16" s="20">
        <v>0</v>
      </c>
      <c r="O16" s="20">
        <v>0</v>
      </c>
      <c r="P16" s="20">
        <v>0</v>
      </c>
    </row>
    <row r="17" spans="1:24" ht="26.75" customHeight="1" x14ac:dyDescent="0.2">
      <c r="A17" s="22" t="s">
        <v>23</v>
      </c>
      <c r="B17" s="23" t="str">
        <f t="shared" ref="B17:P17" si="7">B6</f>
        <v>LIBERACIÓN NACIONAL</v>
      </c>
      <c r="C17" s="23" t="str">
        <f t="shared" si="7"/>
        <v>UNIDAD SOCIAL CRISTIANA</v>
      </c>
      <c r="D17" s="23" t="str">
        <f t="shared" si="7"/>
        <v>FUERZA DEMOCRÁTICA</v>
      </c>
      <c r="E17" s="23" t="str">
        <f t="shared" si="7"/>
        <v>UNIÓN GENERALEÑA</v>
      </c>
      <c r="F17" s="23" t="str">
        <f t="shared" si="7"/>
        <v>ALIANZA NACIONAL CRISTIANA</v>
      </c>
      <c r="G17" s="23" t="str">
        <f t="shared" si="7"/>
        <v>VANGUARDIA POPULAR</v>
      </c>
      <c r="H17" s="23" t="str">
        <f t="shared" si="7"/>
        <v>UNIÓN AGRÍCOLA CARTAGINÉS</v>
      </c>
      <c r="I17" s="23" t="str">
        <f t="shared" si="7"/>
        <v>AGRARIO NACIONAL</v>
      </c>
      <c r="J17" s="23" t="str">
        <f t="shared" si="7"/>
        <v>NACIONAL INDEPENDIENTE</v>
      </c>
      <c r="K17" s="23" t="str">
        <f t="shared" si="7"/>
        <v>ACCIÓN DEMOCRÁTICA ALAJUELENSE</v>
      </c>
      <c r="L17" s="23" t="str">
        <f t="shared" si="7"/>
        <v>INDEPENDIENTE</v>
      </c>
      <c r="M17" s="23" t="str">
        <f t="shared" si="7"/>
        <v>AUTÉNTICO LIMONENSE</v>
      </c>
      <c r="N17" s="23" t="str">
        <f t="shared" si="7"/>
        <v>ACCIÓN LABORISTA AGRÍCOLA</v>
      </c>
      <c r="O17" s="23" t="str">
        <f t="shared" si="7"/>
        <v>GUANACASTE INDEPENDIENTE</v>
      </c>
      <c r="P17" s="23" t="str">
        <f t="shared" si="7"/>
        <v>CONVERGENCIA NACIONAL</v>
      </c>
      <c r="Q17" s="22" t="s">
        <v>24</v>
      </c>
    </row>
    <row r="18" spans="1:24" ht="26.75" customHeight="1" x14ac:dyDescent="0.2">
      <c r="A18" s="22" t="s">
        <v>13</v>
      </c>
      <c r="B18" s="21">
        <v>5</v>
      </c>
      <c r="C18" s="21">
        <v>5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19">
        <f t="shared" ref="Q18:Q24" si="8">SUM(B18:P18)</f>
        <v>10</v>
      </c>
    </row>
    <row r="19" spans="1:24" ht="26.75" customHeight="1" x14ac:dyDescent="0.2">
      <c r="A19" s="22" t="s">
        <v>14</v>
      </c>
      <c r="B19" s="21">
        <v>3</v>
      </c>
      <c r="C19" s="21">
        <v>2</v>
      </c>
      <c r="D19" s="21">
        <v>0</v>
      </c>
      <c r="E19" s="21">
        <v>0</v>
      </c>
      <c r="F19" s="21">
        <v>0</v>
      </c>
      <c r="G19" s="21">
        <v>0</v>
      </c>
      <c r="H19" s="21">
        <v>1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19">
        <f t="shared" si="8"/>
        <v>6</v>
      </c>
    </row>
    <row r="20" spans="1:24" ht="26.75" customHeight="1" x14ac:dyDescent="0.2">
      <c r="A20" s="22" t="s">
        <v>15</v>
      </c>
      <c r="B20" s="21">
        <v>3</v>
      </c>
      <c r="C20" s="21">
        <v>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19">
        <f t="shared" si="8"/>
        <v>5</v>
      </c>
    </row>
    <row r="21" spans="1:24" ht="26.75" customHeight="1" x14ac:dyDescent="0.2">
      <c r="A21" s="22" t="s">
        <v>16</v>
      </c>
      <c r="B21" s="21">
        <v>3</v>
      </c>
      <c r="C21" s="21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19">
        <f t="shared" si="8"/>
        <v>5</v>
      </c>
    </row>
    <row r="22" spans="1:24" ht="26.75" customHeight="1" x14ac:dyDescent="0.2">
      <c r="A22" s="22" t="s">
        <v>17</v>
      </c>
      <c r="B22" s="21">
        <v>1</v>
      </c>
      <c r="C22" s="21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1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19">
        <f t="shared" si="8"/>
        <v>4</v>
      </c>
    </row>
    <row r="23" spans="1:24" ht="26.75" customHeight="1" x14ac:dyDescent="0.2">
      <c r="A23" s="22" t="s">
        <v>18</v>
      </c>
      <c r="B23" s="21">
        <v>3</v>
      </c>
      <c r="C23" s="21">
        <v>3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19">
        <f t="shared" si="8"/>
        <v>6</v>
      </c>
    </row>
    <row r="24" spans="1:24" ht="26.75" customHeight="1" x14ac:dyDescent="0.2">
      <c r="A24" s="22" t="s">
        <v>19</v>
      </c>
      <c r="B24" s="21">
        <v>10</v>
      </c>
      <c r="C24" s="21">
        <v>9</v>
      </c>
      <c r="D24" s="21">
        <v>2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19">
        <f t="shared" si="8"/>
        <v>21</v>
      </c>
    </row>
    <row r="25" spans="1:24" ht="26.75" customHeight="1" x14ac:dyDescent="0.2">
      <c r="A25" s="18"/>
      <c r="B25" s="19">
        <f t="shared" ref="B25:Q25" si="9">SUM(B18:B24)</f>
        <v>28</v>
      </c>
      <c r="C25" s="19">
        <f t="shared" si="9"/>
        <v>25</v>
      </c>
      <c r="D25" s="19">
        <f t="shared" si="9"/>
        <v>2</v>
      </c>
      <c r="E25" s="19">
        <f t="shared" si="9"/>
        <v>0</v>
      </c>
      <c r="F25" s="19">
        <f t="shared" si="9"/>
        <v>0</v>
      </c>
      <c r="G25" s="19">
        <f t="shared" si="9"/>
        <v>0</v>
      </c>
      <c r="H25" s="19">
        <f t="shared" si="9"/>
        <v>1</v>
      </c>
      <c r="I25" s="19">
        <f t="shared" si="9"/>
        <v>1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57</v>
      </c>
    </row>
    <row r="27" spans="1:24" ht="53.25" customHeight="1" x14ac:dyDescent="0.2">
      <c r="A27" s="33" t="s">
        <v>87</v>
      </c>
      <c r="B27" s="33">
        <v>0.52339999999999998</v>
      </c>
      <c r="C27" s="33">
        <v>0.45669999999999999</v>
      </c>
      <c r="D27" s="33">
        <v>5.5999999999999999E-3</v>
      </c>
      <c r="E27" s="33">
        <v>7.7000000000000002E-3</v>
      </c>
      <c r="F27" s="33">
        <v>4.7999999999999996E-3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1E-3</v>
      </c>
      <c r="N27" s="33">
        <v>0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</row>
  </sheetData>
  <mergeCells count="2">
    <mergeCell ref="A5:X5"/>
    <mergeCell ref="A27:X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AF27"/>
  <sheetViews>
    <sheetView workbookViewId="0"/>
  </sheetViews>
  <sheetFormatPr baseColWidth="10" defaultColWidth="8.83203125" defaultRowHeight="16" x14ac:dyDescent="0.2"/>
  <cols>
    <col min="1" max="1" width="25.5" customWidth="1"/>
    <col min="2" max="24" width="26.1640625" customWidth="1"/>
    <col min="25" max="25" width="24.6640625" customWidth="1"/>
    <col min="26" max="28" width="18.6640625" customWidth="1"/>
    <col min="29" max="29" width="16.6640625" customWidth="1"/>
    <col min="30" max="30" width="19" customWidth="1"/>
    <col min="31" max="31" width="17.6640625" customWidth="1"/>
    <col min="32" max="32" width="23.1640625" customWidth="1"/>
  </cols>
  <sheetData>
    <row r="5" spans="1:32" ht="42.75" customHeight="1" x14ac:dyDescent="0.2">
      <c r="A5" s="32">
        <v>1998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 spans="1:32" ht="26.75" customHeight="1" x14ac:dyDescent="0.2">
      <c r="A6" s="22" t="s">
        <v>0</v>
      </c>
      <c r="B6" s="23" t="s">
        <v>77</v>
      </c>
      <c r="C6" s="23" t="s">
        <v>1</v>
      </c>
      <c r="D6" s="23" t="s">
        <v>83</v>
      </c>
      <c r="E6" s="23" t="s">
        <v>88</v>
      </c>
      <c r="F6" s="23" t="s">
        <v>89</v>
      </c>
      <c r="G6" s="23" t="s">
        <v>90</v>
      </c>
      <c r="H6" s="23" t="s">
        <v>2</v>
      </c>
      <c r="I6" s="23" t="s">
        <v>79</v>
      </c>
      <c r="J6" s="23" t="s">
        <v>91</v>
      </c>
      <c r="K6" s="23" t="s">
        <v>50</v>
      </c>
      <c r="L6" s="23" t="s">
        <v>92</v>
      </c>
      <c r="M6" s="23" t="s">
        <v>93</v>
      </c>
      <c r="N6" s="23" t="s">
        <v>94</v>
      </c>
      <c r="O6" s="23" t="s">
        <v>73</v>
      </c>
      <c r="P6" s="23" t="s">
        <v>80</v>
      </c>
      <c r="Q6" s="23" t="s">
        <v>48</v>
      </c>
      <c r="R6" s="23" t="s">
        <v>65</v>
      </c>
      <c r="S6" s="23" t="s">
        <v>26</v>
      </c>
      <c r="T6" s="23" t="s">
        <v>95</v>
      </c>
      <c r="U6" s="23" t="s">
        <v>86</v>
      </c>
      <c r="V6" s="23" t="s">
        <v>59</v>
      </c>
      <c r="W6" s="23" t="s">
        <v>96</v>
      </c>
      <c r="X6" s="23" t="s">
        <v>85</v>
      </c>
      <c r="Y6" s="23" t="s">
        <v>5</v>
      </c>
      <c r="Z6" s="23" t="s">
        <v>6</v>
      </c>
      <c r="AA6" s="23" t="s">
        <v>7</v>
      </c>
      <c r="AB6" s="22" t="s">
        <v>8</v>
      </c>
      <c r="AC6" s="22" t="s">
        <v>9</v>
      </c>
      <c r="AD6" s="22" t="s">
        <v>10</v>
      </c>
      <c r="AE6" s="22" t="s">
        <v>11</v>
      </c>
      <c r="AF6" s="22" t="s">
        <v>12</v>
      </c>
    </row>
    <row r="7" spans="1:32" ht="26.75" customHeight="1" x14ac:dyDescent="0.2">
      <c r="A7" s="22" t="s">
        <v>13</v>
      </c>
      <c r="B7" s="21">
        <v>104547</v>
      </c>
      <c r="C7" s="21">
        <v>90809</v>
      </c>
      <c r="D7" s="21">
        <v>13304</v>
      </c>
      <c r="E7" s="21">
        <v>3577</v>
      </c>
      <c r="F7" s="21">
        <v>3329</v>
      </c>
      <c r="G7" s="21">
        <v>3527</v>
      </c>
      <c r="H7" s="21">
        <v>2750</v>
      </c>
      <c r="I7" s="21">
        <v>16955</v>
      </c>
      <c r="J7" s="21">
        <v>1043</v>
      </c>
      <c r="K7" s="21">
        <v>3425</v>
      </c>
      <c r="L7" s="21">
        <v>363</v>
      </c>
      <c r="M7" s="21">
        <v>650</v>
      </c>
      <c r="N7" s="21">
        <v>805</v>
      </c>
      <c r="O7" s="21">
        <v>966</v>
      </c>
      <c r="P7" s="21">
        <v>0</v>
      </c>
      <c r="Q7" s="21">
        <v>0</v>
      </c>
      <c r="R7" s="21">
        <v>6614</v>
      </c>
      <c r="S7" s="21">
        <v>780</v>
      </c>
      <c r="T7" s="21">
        <v>2223</v>
      </c>
      <c r="U7" s="21">
        <v>0</v>
      </c>
      <c r="V7" s="21">
        <v>0</v>
      </c>
      <c r="W7" s="21">
        <v>0</v>
      </c>
      <c r="X7" s="21">
        <v>0</v>
      </c>
      <c r="Y7" s="21">
        <v>3182</v>
      </c>
      <c r="Z7" s="21">
        <v>5695</v>
      </c>
      <c r="AA7" s="21">
        <v>98694</v>
      </c>
      <c r="AB7" s="19">
        <f t="shared" ref="AB7:AB14" si="0">SUM(B7:AA7)</f>
        <v>363238</v>
      </c>
      <c r="AC7" s="19">
        <f t="shared" ref="AC7:AC14" si="1">SUM(B7:X7)</f>
        <v>255667</v>
      </c>
      <c r="AD7" s="19">
        <f t="shared" ref="AD7:AD14" si="2">SUM(B7:Z7)</f>
        <v>264544</v>
      </c>
      <c r="AE7" s="20">
        <f t="shared" ref="AE7:AE14" si="3">(AD7-AC7)/AD7</f>
        <v>3.3555854602636992E-2</v>
      </c>
      <c r="AF7" s="20">
        <f t="shared" ref="AF7:AF14" si="4">AA7/AB7</f>
        <v>0.27170615409180759</v>
      </c>
    </row>
    <row r="8" spans="1:32" ht="26.75" customHeight="1" x14ac:dyDescent="0.2">
      <c r="A8" s="22" t="s">
        <v>14</v>
      </c>
      <c r="B8" s="21">
        <v>65695</v>
      </c>
      <c r="C8" s="21">
        <v>60848</v>
      </c>
      <c r="D8" s="21">
        <v>8572</v>
      </c>
      <c r="E8" s="21">
        <v>2856</v>
      </c>
      <c r="F8" s="21">
        <v>3476</v>
      </c>
      <c r="G8" s="21">
        <v>1620</v>
      </c>
      <c r="H8" s="21">
        <v>1921</v>
      </c>
      <c r="I8" s="21">
        <v>0</v>
      </c>
      <c r="J8" s="21">
        <v>2926</v>
      </c>
      <c r="K8" s="21">
        <v>3378</v>
      </c>
      <c r="L8" s="21">
        <v>716</v>
      </c>
      <c r="M8" s="21">
        <v>1070</v>
      </c>
      <c r="N8" s="21">
        <v>683</v>
      </c>
      <c r="O8" s="21">
        <v>1354</v>
      </c>
      <c r="P8" s="21">
        <v>0</v>
      </c>
      <c r="Q8" s="21">
        <v>7138</v>
      </c>
      <c r="R8" s="21">
        <v>0</v>
      </c>
      <c r="S8" s="21">
        <v>430</v>
      </c>
      <c r="T8" s="21">
        <v>0</v>
      </c>
      <c r="U8" s="21">
        <v>2197</v>
      </c>
      <c r="V8" s="21">
        <v>0</v>
      </c>
      <c r="W8" s="21">
        <v>1892</v>
      </c>
      <c r="X8" s="21">
        <v>0</v>
      </c>
      <c r="Y8" s="21">
        <v>1658</v>
      </c>
      <c r="Z8" s="21">
        <v>4124</v>
      </c>
      <c r="AA8" s="21">
        <v>59416</v>
      </c>
      <c r="AB8" s="19">
        <f t="shared" si="0"/>
        <v>231970</v>
      </c>
      <c r="AC8" s="19">
        <f t="shared" si="1"/>
        <v>166772</v>
      </c>
      <c r="AD8" s="19">
        <f t="shared" si="2"/>
        <v>172554</v>
      </c>
      <c r="AE8" s="20">
        <f t="shared" si="3"/>
        <v>3.3508351008959512E-2</v>
      </c>
      <c r="AF8" s="20">
        <f t="shared" si="4"/>
        <v>0.25613656938397206</v>
      </c>
    </row>
    <row r="9" spans="1:32" ht="26.75" customHeight="1" x14ac:dyDescent="0.2">
      <c r="A9" s="22" t="s">
        <v>15</v>
      </c>
      <c r="B9" s="21">
        <v>50067</v>
      </c>
      <c r="C9" s="21">
        <v>33670</v>
      </c>
      <c r="D9" s="21">
        <v>4187</v>
      </c>
      <c r="E9" s="21">
        <v>1079</v>
      </c>
      <c r="F9" s="21">
        <v>547</v>
      </c>
      <c r="G9" s="21">
        <v>3104</v>
      </c>
      <c r="H9" s="21">
        <v>206</v>
      </c>
      <c r="I9" s="21">
        <v>0</v>
      </c>
      <c r="J9" s="21">
        <v>616</v>
      </c>
      <c r="K9" s="21">
        <v>1116</v>
      </c>
      <c r="L9" s="21">
        <v>900</v>
      </c>
      <c r="M9" s="21">
        <v>232</v>
      </c>
      <c r="N9" s="21">
        <v>277</v>
      </c>
      <c r="O9" s="21">
        <v>167</v>
      </c>
      <c r="P9" s="21">
        <v>0</v>
      </c>
      <c r="Q9" s="21">
        <v>0</v>
      </c>
      <c r="R9" s="21">
        <v>0</v>
      </c>
      <c r="S9" s="21">
        <v>2242</v>
      </c>
      <c r="T9" s="21">
        <v>0</v>
      </c>
      <c r="U9" s="21">
        <v>0</v>
      </c>
      <c r="V9" s="21">
        <v>0</v>
      </c>
      <c r="W9" s="21">
        <v>0</v>
      </c>
      <c r="X9" s="21">
        <v>1623</v>
      </c>
      <c r="Y9" s="21">
        <v>1321</v>
      </c>
      <c r="Z9" s="21">
        <v>3351</v>
      </c>
      <c r="AA9" s="21">
        <v>36985</v>
      </c>
      <c r="AB9" s="19">
        <f t="shared" si="0"/>
        <v>141690</v>
      </c>
      <c r="AC9" s="19">
        <f t="shared" si="1"/>
        <v>100033</v>
      </c>
      <c r="AD9" s="19">
        <f t="shared" si="2"/>
        <v>104705</v>
      </c>
      <c r="AE9" s="20">
        <f t="shared" si="3"/>
        <v>4.4620600735399453E-2</v>
      </c>
      <c r="AF9" s="20">
        <f t="shared" si="4"/>
        <v>0.26102759545486626</v>
      </c>
    </row>
    <row r="10" spans="1:32" ht="26.75" customHeight="1" x14ac:dyDescent="0.2">
      <c r="A10" s="22" t="s">
        <v>16</v>
      </c>
      <c r="B10" s="21">
        <v>51036</v>
      </c>
      <c r="C10" s="21">
        <v>46676</v>
      </c>
      <c r="D10" s="21">
        <v>9274</v>
      </c>
      <c r="E10" s="21">
        <v>3191</v>
      </c>
      <c r="F10" s="21">
        <v>4188</v>
      </c>
      <c r="G10" s="21">
        <v>3230</v>
      </c>
      <c r="H10" s="21">
        <v>2288</v>
      </c>
      <c r="I10" s="21">
        <v>0</v>
      </c>
      <c r="J10" s="21">
        <v>1459</v>
      </c>
      <c r="K10" s="21">
        <v>893</v>
      </c>
      <c r="L10" s="21">
        <v>2358</v>
      </c>
      <c r="M10" s="21">
        <v>660</v>
      </c>
      <c r="N10" s="21">
        <v>3967</v>
      </c>
      <c r="O10" s="21">
        <v>558</v>
      </c>
      <c r="P10" s="21">
        <v>0</v>
      </c>
      <c r="Q10" s="21">
        <v>0</v>
      </c>
      <c r="R10" s="21">
        <v>0</v>
      </c>
      <c r="S10" s="21">
        <v>417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1041</v>
      </c>
      <c r="Z10" s="21">
        <v>2504</v>
      </c>
      <c r="AA10" s="21">
        <v>52225</v>
      </c>
      <c r="AB10" s="19">
        <f t="shared" si="0"/>
        <v>185965</v>
      </c>
      <c r="AC10" s="19">
        <f t="shared" si="1"/>
        <v>130195</v>
      </c>
      <c r="AD10" s="19">
        <f t="shared" si="2"/>
        <v>133740</v>
      </c>
      <c r="AE10" s="20">
        <f t="shared" si="3"/>
        <v>2.6506654703155375E-2</v>
      </c>
      <c r="AF10" s="20">
        <f t="shared" si="4"/>
        <v>0.28083241470169118</v>
      </c>
    </row>
    <row r="11" spans="1:32" ht="26.75" customHeight="1" x14ac:dyDescent="0.2">
      <c r="A11" s="22" t="s">
        <v>17</v>
      </c>
      <c r="B11" s="21">
        <v>41516</v>
      </c>
      <c r="C11" s="21">
        <v>21142</v>
      </c>
      <c r="D11" s="21">
        <v>2352</v>
      </c>
      <c r="E11" s="21">
        <v>2861</v>
      </c>
      <c r="F11" s="21">
        <v>966</v>
      </c>
      <c r="G11" s="21">
        <v>2165</v>
      </c>
      <c r="H11" s="21">
        <v>645</v>
      </c>
      <c r="I11" s="21">
        <v>0</v>
      </c>
      <c r="J11" s="21">
        <v>2503</v>
      </c>
      <c r="K11" s="21">
        <v>683</v>
      </c>
      <c r="L11" s="21">
        <v>486</v>
      </c>
      <c r="M11" s="21">
        <v>684</v>
      </c>
      <c r="N11" s="21">
        <v>143</v>
      </c>
      <c r="O11" s="21">
        <v>660</v>
      </c>
      <c r="P11" s="21">
        <v>7497</v>
      </c>
      <c r="Q11" s="21">
        <v>0</v>
      </c>
      <c r="R11" s="21">
        <v>0</v>
      </c>
      <c r="S11" s="21">
        <v>552</v>
      </c>
      <c r="T11" s="21">
        <v>0</v>
      </c>
      <c r="U11" s="21">
        <v>0</v>
      </c>
      <c r="V11" s="21">
        <v>2167</v>
      </c>
      <c r="W11" s="21">
        <v>0</v>
      </c>
      <c r="X11" s="21">
        <v>0</v>
      </c>
      <c r="Y11" s="21">
        <v>1548</v>
      </c>
      <c r="Z11" s="21">
        <v>3668</v>
      </c>
      <c r="AA11" s="21">
        <v>61386</v>
      </c>
      <c r="AB11" s="19">
        <f t="shared" si="0"/>
        <v>153624</v>
      </c>
      <c r="AC11" s="19">
        <f t="shared" si="1"/>
        <v>87022</v>
      </c>
      <c r="AD11" s="19">
        <f t="shared" si="2"/>
        <v>92238</v>
      </c>
      <c r="AE11" s="20">
        <f t="shared" si="3"/>
        <v>5.654936143454975E-2</v>
      </c>
      <c r="AF11" s="20">
        <f t="shared" si="4"/>
        <v>0.39958600218715823</v>
      </c>
    </row>
    <row r="12" spans="1:32" ht="26.75" customHeight="1" x14ac:dyDescent="0.2">
      <c r="A12" s="22" t="s">
        <v>18</v>
      </c>
      <c r="B12" s="21">
        <v>58225</v>
      </c>
      <c r="C12" s="21">
        <v>37377</v>
      </c>
      <c r="D12" s="21">
        <v>3521</v>
      </c>
      <c r="E12" s="21">
        <v>4556</v>
      </c>
      <c r="F12" s="21">
        <v>1115</v>
      </c>
      <c r="G12" s="21">
        <v>1334</v>
      </c>
      <c r="H12" s="21">
        <v>802</v>
      </c>
      <c r="I12" s="21">
        <v>0</v>
      </c>
      <c r="J12" s="21">
        <v>1848</v>
      </c>
      <c r="K12" s="21">
        <v>754</v>
      </c>
      <c r="L12" s="21">
        <v>514</v>
      </c>
      <c r="M12" s="21">
        <v>2828</v>
      </c>
      <c r="N12" s="21">
        <v>652</v>
      </c>
      <c r="O12" s="21">
        <v>1587</v>
      </c>
      <c r="P12" s="21">
        <v>0</v>
      </c>
      <c r="Q12" s="21">
        <v>0</v>
      </c>
      <c r="R12" s="21">
        <v>0</v>
      </c>
      <c r="S12" s="21">
        <v>183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1695</v>
      </c>
      <c r="Z12" s="21">
        <v>4055</v>
      </c>
      <c r="AA12" s="21">
        <v>64392</v>
      </c>
      <c r="AB12" s="19">
        <f t="shared" si="0"/>
        <v>185438</v>
      </c>
      <c r="AC12" s="19">
        <f t="shared" si="1"/>
        <v>115296</v>
      </c>
      <c r="AD12" s="19">
        <f t="shared" si="2"/>
        <v>121046</v>
      </c>
      <c r="AE12" s="20">
        <f t="shared" si="3"/>
        <v>4.7502602316474726E-2</v>
      </c>
      <c r="AF12" s="20">
        <f t="shared" si="4"/>
        <v>0.34724274420561052</v>
      </c>
    </row>
    <row r="13" spans="1:32" ht="26.75" customHeight="1" x14ac:dyDescent="0.2">
      <c r="A13" s="22" t="s">
        <v>19</v>
      </c>
      <c r="B13" s="21">
        <v>198706</v>
      </c>
      <c r="C13" s="21">
        <v>191411</v>
      </c>
      <c r="D13" s="21">
        <v>38616</v>
      </c>
      <c r="E13" s="21">
        <v>24520</v>
      </c>
      <c r="F13" s="21">
        <v>24787</v>
      </c>
      <c r="G13" s="21">
        <v>12912</v>
      </c>
      <c r="H13" s="21">
        <v>8448</v>
      </c>
      <c r="I13" s="21">
        <v>0</v>
      </c>
      <c r="J13" s="21">
        <v>4633</v>
      </c>
      <c r="K13" s="21">
        <v>2545</v>
      </c>
      <c r="L13" s="21">
        <v>7246</v>
      </c>
      <c r="M13" s="21">
        <v>6352</v>
      </c>
      <c r="N13" s="21">
        <v>3061</v>
      </c>
      <c r="O13" s="21">
        <v>3884</v>
      </c>
      <c r="P13" s="21">
        <v>0</v>
      </c>
      <c r="Q13" s="21">
        <v>0</v>
      </c>
      <c r="R13" s="21">
        <v>0</v>
      </c>
      <c r="S13" s="21">
        <v>1421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3898</v>
      </c>
      <c r="Z13" s="21">
        <v>9312</v>
      </c>
      <c r="AA13" s="21">
        <v>242303</v>
      </c>
      <c r="AB13" s="19">
        <f t="shared" si="0"/>
        <v>784055</v>
      </c>
      <c r="AC13" s="19">
        <f t="shared" si="1"/>
        <v>528542</v>
      </c>
      <c r="AD13" s="19">
        <f t="shared" si="2"/>
        <v>541752</v>
      </c>
      <c r="AE13" s="20">
        <f t="shared" si="3"/>
        <v>2.438385091333304E-2</v>
      </c>
      <c r="AF13" s="20">
        <f t="shared" si="4"/>
        <v>0.30903826899898607</v>
      </c>
    </row>
    <row r="14" spans="1:32" ht="26.75" customHeight="1" x14ac:dyDescent="0.2">
      <c r="A14" s="22" t="s">
        <v>20</v>
      </c>
      <c r="B14" s="19">
        <f t="shared" ref="B14:AA14" si="5">SUM(B7:B13)</f>
        <v>569792</v>
      </c>
      <c r="C14" s="19">
        <f t="shared" si="5"/>
        <v>481933</v>
      </c>
      <c r="D14" s="19">
        <f t="shared" si="5"/>
        <v>79826</v>
      </c>
      <c r="E14" s="19">
        <f t="shared" si="5"/>
        <v>42640</v>
      </c>
      <c r="F14" s="19">
        <f t="shared" si="5"/>
        <v>38408</v>
      </c>
      <c r="G14" s="19">
        <f t="shared" si="5"/>
        <v>27892</v>
      </c>
      <c r="H14" s="19">
        <f t="shared" si="5"/>
        <v>17060</v>
      </c>
      <c r="I14" s="19">
        <f t="shared" si="5"/>
        <v>16955</v>
      </c>
      <c r="J14" s="19">
        <f t="shared" si="5"/>
        <v>15028</v>
      </c>
      <c r="K14" s="19">
        <f t="shared" si="5"/>
        <v>12794</v>
      </c>
      <c r="L14" s="19">
        <f t="shared" si="5"/>
        <v>12583</v>
      </c>
      <c r="M14" s="19">
        <f t="shared" si="5"/>
        <v>12476</v>
      </c>
      <c r="N14" s="19">
        <f t="shared" si="5"/>
        <v>9588</v>
      </c>
      <c r="O14" s="19">
        <f t="shared" si="5"/>
        <v>9176</v>
      </c>
      <c r="P14" s="19">
        <f t="shared" si="5"/>
        <v>7497</v>
      </c>
      <c r="Q14" s="19">
        <f t="shared" si="5"/>
        <v>7138</v>
      </c>
      <c r="R14" s="19">
        <f t="shared" si="5"/>
        <v>6614</v>
      </c>
      <c r="S14" s="19">
        <f t="shared" si="5"/>
        <v>6025</v>
      </c>
      <c r="T14" s="19">
        <f t="shared" si="5"/>
        <v>2223</v>
      </c>
      <c r="U14" s="19">
        <f t="shared" si="5"/>
        <v>2197</v>
      </c>
      <c r="V14" s="19">
        <f t="shared" si="5"/>
        <v>2167</v>
      </c>
      <c r="W14" s="19">
        <f t="shared" si="5"/>
        <v>1892</v>
      </c>
      <c r="X14" s="19">
        <f t="shared" si="5"/>
        <v>1623</v>
      </c>
      <c r="Y14" s="19">
        <f t="shared" si="5"/>
        <v>14343</v>
      </c>
      <c r="Z14" s="19">
        <f t="shared" si="5"/>
        <v>32709</v>
      </c>
      <c r="AA14" s="19">
        <f t="shared" si="5"/>
        <v>615401</v>
      </c>
      <c r="AB14" s="19">
        <f t="shared" si="0"/>
        <v>2045980</v>
      </c>
      <c r="AC14" s="19">
        <f t="shared" si="1"/>
        <v>1383527</v>
      </c>
      <c r="AD14" s="19">
        <f t="shared" si="2"/>
        <v>1430579</v>
      </c>
      <c r="AE14" s="20">
        <f t="shared" si="3"/>
        <v>3.289017943084583E-2</v>
      </c>
      <c r="AF14" s="20">
        <f t="shared" si="4"/>
        <v>0.30078544267294888</v>
      </c>
    </row>
    <row r="15" spans="1:32" ht="26.75" customHeight="1" x14ac:dyDescent="0.2">
      <c r="A15" s="22" t="s">
        <v>21</v>
      </c>
      <c r="B15" s="20">
        <f t="shared" ref="B15:X15" si="6">B14/$AC$14</f>
        <v>0.41184017370098308</v>
      </c>
      <c r="C15" s="20">
        <f t="shared" si="6"/>
        <v>0.34833653409004667</v>
      </c>
      <c r="D15" s="20">
        <f t="shared" si="6"/>
        <v>5.7697464523641391E-2</v>
      </c>
      <c r="E15" s="20">
        <f t="shared" si="6"/>
        <v>3.0819781616115913E-2</v>
      </c>
      <c r="F15" s="20">
        <f t="shared" si="6"/>
        <v>2.7760932746523921E-2</v>
      </c>
      <c r="G15" s="20">
        <f t="shared" si="6"/>
        <v>2.0160069156583138E-2</v>
      </c>
      <c r="H15" s="20">
        <f t="shared" si="6"/>
        <v>1.2330803807948815E-2</v>
      </c>
      <c r="I15" s="20">
        <f t="shared" si="6"/>
        <v>1.2254910818509506E-2</v>
      </c>
      <c r="J15" s="20">
        <f t="shared" si="6"/>
        <v>1.0862093764704267E-2</v>
      </c>
      <c r="K15" s="20">
        <f t="shared" si="6"/>
        <v>9.2473800655859979E-3</v>
      </c>
      <c r="L15" s="20">
        <f t="shared" si="6"/>
        <v>9.0948712963317673E-3</v>
      </c>
      <c r="M15" s="20">
        <f t="shared" si="6"/>
        <v>9.0175327261412322E-3</v>
      </c>
      <c r="N15" s="20">
        <f t="shared" si="6"/>
        <v>6.9301141213724054E-3</v>
      </c>
      <c r="O15" s="20">
        <f t="shared" si="6"/>
        <v>6.6323244866200656E-3</v>
      </c>
      <c r="P15" s="20">
        <f t="shared" si="6"/>
        <v>5.4187594459667214E-3</v>
      </c>
      <c r="Q15" s="20">
        <f t="shared" si="6"/>
        <v>5.1592777011218432E-3</v>
      </c>
      <c r="R15" s="20">
        <f t="shared" si="6"/>
        <v>4.7805355443009062E-3</v>
      </c>
      <c r="S15" s="20">
        <f t="shared" si="6"/>
        <v>4.3548120130651588E-3</v>
      </c>
      <c r="T15" s="20">
        <f t="shared" si="6"/>
        <v>1.6067630049865307E-3</v>
      </c>
      <c r="U15" s="20">
        <f t="shared" si="6"/>
        <v>1.5879704552206064E-3</v>
      </c>
      <c r="V15" s="20">
        <f t="shared" si="6"/>
        <v>1.5662867439522321E-3</v>
      </c>
      <c r="W15" s="20">
        <f t="shared" si="6"/>
        <v>1.3675193906588017E-3</v>
      </c>
      <c r="X15" s="20">
        <f t="shared" si="6"/>
        <v>1.1730887796190461E-3</v>
      </c>
    </row>
    <row r="16" spans="1:32" ht="26.75" customHeight="1" x14ac:dyDescent="0.2">
      <c r="A16" s="22" t="s">
        <v>22</v>
      </c>
      <c r="B16" s="20">
        <v>0.46960000000000002</v>
      </c>
      <c r="C16" s="20">
        <v>0.4456</v>
      </c>
      <c r="D16" s="20">
        <v>0.03</v>
      </c>
      <c r="E16" s="20">
        <v>4.1999999999999997E-3</v>
      </c>
      <c r="F16" s="20">
        <v>1.44E-2</v>
      </c>
      <c r="G16" s="20">
        <v>1.3899999999999999E-2</v>
      </c>
      <c r="H16" s="20">
        <v>9.2999999999999992E-3</v>
      </c>
      <c r="I16" s="20">
        <v>0</v>
      </c>
      <c r="J16" s="20">
        <v>2.2000000000000001E-3</v>
      </c>
      <c r="K16" s="20">
        <v>3.0000000000000001E-3</v>
      </c>
      <c r="L16" s="20">
        <v>0</v>
      </c>
      <c r="M16" s="20">
        <v>2.2000000000000001E-3</v>
      </c>
      <c r="N16" s="20">
        <v>1.9E-3</v>
      </c>
      <c r="O16" s="20">
        <v>2.5999999999999999E-3</v>
      </c>
      <c r="P16" s="20">
        <v>0</v>
      </c>
      <c r="Q16" s="20">
        <v>0</v>
      </c>
      <c r="R16" s="20">
        <v>0</v>
      </c>
      <c r="S16" s="20">
        <v>1E-3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</row>
    <row r="17" spans="1:32" ht="26.75" customHeight="1" x14ac:dyDescent="0.2">
      <c r="A17" s="22" t="s">
        <v>23</v>
      </c>
      <c r="B17" s="23" t="str">
        <f t="shared" ref="B17:X17" si="7">B6</f>
        <v>UNIDAD SOCIAL CRISTIANA</v>
      </c>
      <c r="C17" s="23" t="str">
        <f t="shared" si="7"/>
        <v>LIBERACIÓN NACIONAL</v>
      </c>
      <c r="D17" s="23" t="str">
        <f t="shared" si="7"/>
        <v>FUERZA DEMOCRÁTICA</v>
      </c>
      <c r="E17" s="23" t="str">
        <f t="shared" si="7"/>
        <v>MOVIMIENTO LIBERTARIO</v>
      </c>
      <c r="F17" s="23" t="str">
        <f t="shared" si="7"/>
        <v>INTEGRACIÓN NACIONAL</v>
      </c>
      <c r="G17" s="23" t="str">
        <f t="shared" si="7"/>
        <v>RENOVACIÓN COSTARRICENSE</v>
      </c>
      <c r="H17" s="23" t="str">
        <f t="shared" si="7"/>
        <v>DEMÓCRATA</v>
      </c>
      <c r="I17" s="23" t="str">
        <f t="shared" si="7"/>
        <v>ACCIÓN LABORISTA AGRÍCOLA</v>
      </c>
      <c r="J17" s="23" t="str">
        <f t="shared" si="7"/>
        <v>PUEBLO UNIDO</v>
      </c>
      <c r="K17" s="23" t="str">
        <f t="shared" si="7"/>
        <v>NACIONAL INDEPENDIENTE</v>
      </c>
      <c r="L17" s="23" t="str">
        <f t="shared" si="7"/>
        <v>UNIÓN GENERAL</v>
      </c>
      <c r="M17" s="23" t="str">
        <f t="shared" si="7"/>
        <v>NUEVO PARTIDO DEMOCRÁTICO</v>
      </c>
      <c r="N17" s="23" t="str">
        <f t="shared" si="7"/>
        <v>RESCATE NACIONAL</v>
      </c>
      <c r="O17" s="23" t="str">
        <f t="shared" si="7"/>
        <v>ALIANZA NACIONAL CRISTIANA</v>
      </c>
      <c r="P17" s="23" t="str">
        <f t="shared" si="7"/>
        <v>AGRARIO NACIONAL</v>
      </c>
      <c r="Q17" s="23" t="str">
        <f t="shared" si="7"/>
        <v>UNIÓN AGRÍCOLA CARTAGINÉS</v>
      </c>
      <c r="R17" s="23" t="str">
        <f t="shared" si="7"/>
        <v>ACCIÓN DEMOCRÁTICA ALAJUELENSE</v>
      </c>
      <c r="S17" s="23" t="str">
        <f t="shared" si="7"/>
        <v>INDEPENDIENTE</v>
      </c>
      <c r="T17" s="23" t="str">
        <f t="shared" si="7"/>
        <v>CAMBIO YA</v>
      </c>
      <c r="U17" s="23" t="str">
        <f t="shared" si="7"/>
        <v>CONVERGENCIA NACIONAL</v>
      </c>
      <c r="V17" s="23" t="str">
        <f t="shared" si="7"/>
        <v>AUTÉNTICO LIMONENSE</v>
      </c>
      <c r="W17" s="23" t="str">
        <f t="shared" si="7"/>
        <v>FUERZA AGRARIA DE LOS CARTAGINESES</v>
      </c>
      <c r="X17" s="23" t="str">
        <f t="shared" si="7"/>
        <v>GUANACASTE INDEPENDIENTE</v>
      </c>
      <c r="Y17" s="22" t="s">
        <v>24</v>
      </c>
    </row>
    <row r="18" spans="1:32" ht="26.75" customHeight="1" x14ac:dyDescent="0.2">
      <c r="A18" s="22" t="s">
        <v>13</v>
      </c>
      <c r="B18" s="21">
        <v>4</v>
      </c>
      <c r="C18" s="21">
        <v>4</v>
      </c>
      <c r="D18" s="21">
        <v>1</v>
      </c>
      <c r="E18" s="21">
        <v>0</v>
      </c>
      <c r="F18" s="21">
        <v>0</v>
      </c>
      <c r="G18" s="21">
        <v>0</v>
      </c>
      <c r="H18" s="21">
        <v>0</v>
      </c>
      <c r="I18" s="21">
        <v>1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19">
        <f t="shared" ref="Y18:Y24" si="8">SUM(B18:X18)</f>
        <v>10</v>
      </c>
    </row>
    <row r="19" spans="1:32" ht="26.75" customHeight="1" x14ac:dyDescent="0.2">
      <c r="A19" s="22" t="s">
        <v>14</v>
      </c>
      <c r="B19" s="21">
        <v>3</v>
      </c>
      <c r="C19" s="21">
        <v>3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19">
        <f t="shared" si="8"/>
        <v>6</v>
      </c>
    </row>
    <row r="20" spans="1:32" ht="26.75" customHeight="1" x14ac:dyDescent="0.2">
      <c r="A20" s="22" t="s">
        <v>15</v>
      </c>
      <c r="B20" s="21">
        <v>3</v>
      </c>
      <c r="C20" s="21">
        <v>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19">
        <f t="shared" si="8"/>
        <v>5</v>
      </c>
    </row>
    <row r="21" spans="1:32" ht="26.75" customHeight="1" x14ac:dyDescent="0.2">
      <c r="A21" s="22" t="s">
        <v>16</v>
      </c>
      <c r="B21" s="21">
        <v>3</v>
      </c>
      <c r="C21" s="21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19">
        <f t="shared" si="8"/>
        <v>5</v>
      </c>
    </row>
    <row r="22" spans="1:32" ht="26.75" customHeight="1" x14ac:dyDescent="0.2">
      <c r="A22" s="22" t="s">
        <v>17</v>
      </c>
      <c r="B22" s="21">
        <v>2</v>
      </c>
      <c r="C22" s="21">
        <v>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19">
        <f t="shared" si="8"/>
        <v>4</v>
      </c>
    </row>
    <row r="23" spans="1:32" ht="26.75" customHeight="1" x14ac:dyDescent="0.2">
      <c r="A23" s="22" t="s">
        <v>18</v>
      </c>
      <c r="B23" s="21">
        <v>4</v>
      </c>
      <c r="C23" s="21">
        <v>2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19">
        <f t="shared" si="8"/>
        <v>6</v>
      </c>
    </row>
    <row r="24" spans="1:32" ht="26.75" customHeight="1" x14ac:dyDescent="0.2">
      <c r="A24" s="22" t="s">
        <v>19</v>
      </c>
      <c r="B24" s="21">
        <v>8</v>
      </c>
      <c r="C24" s="21">
        <v>8</v>
      </c>
      <c r="D24" s="21">
        <v>2</v>
      </c>
      <c r="E24" s="21">
        <v>1</v>
      </c>
      <c r="F24" s="21">
        <v>1</v>
      </c>
      <c r="G24" s="21">
        <v>1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19">
        <f t="shared" si="8"/>
        <v>21</v>
      </c>
    </row>
    <row r="25" spans="1:32" ht="26.75" customHeight="1" x14ac:dyDescent="0.2">
      <c r="A25" s="18"/>
      <c r="B25" s="19">
        <f t="shared" ref="B25:Y25" si="9">SUM(B18:B24)</f>
        <v>27</v>
      </c>
      <c r="C25" s="19">
        <f t="shared" si="9"/>
        <v>23</v>
      </c>
      <c r="D25" s="19">
        <f t="shared" si="9"/>
        <v>3</v>
      </c>
      <c r="E25" s="19">
        <f t="shared" si="9"/>
        <v>1</v>
      </c>
      <c r="F25" s="19">
        <f t="shared" si="9"/>
        <v>1</v>
      </c>
      <c r="G25" s="19">
        <f t="shared" si="9"/>
        <v>1</v>
      </c>
      <c r="H25" s="19">
        <f t="shared" si="9"/>
        <v>0</v>
      </c>
      <c r="I25" s="19">
        <f t="shared" si="9"/>
        <v>1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0</v>
      </c>
      <c r="W25" s="19">
        <f t="shared" si="9"/>
        <v>0</v>
      </c>
      <c r="X25" s="19">
        <f t="shared" si="9"/>
        <v>0</v>
      </c>
      <c r="Y25" s="19">
        <f t="shared" si="9"/>
        <v>57</v>
      </c>
    </row>
    <row r="27" spans="1:32" ht="53.25" customHeight="1" x14ac:dyDescent="0.2">
      <c r="A27" s="33" t="s">
        <v>97</v>
      </c>
      <c r="B27" s="33">
        <v>0.52339999999999998</v>
      </c>
      <c r="C27" s="33">
        <v>0.45669999999999999</v>
      </c>
      <c r="D27" s="33">
        <v>5.5999999999999999E-3</v>
      </c>
      <c r="E27" s="33">
        <v>7.7000000000000002E-3</v>
      </c>
      <c r="F27" s="33">
        <v>4.7999999999999996E-3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1E-3</v>
      </c>
      <c r="N27" s="33">
        <v>0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</sheetData>
  <mergeCells count="2">
    <mergeCell ref="A5:AF5"/>
    <mergeCell ref="A27:AF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5:AA25"/>
  <sheetViews>
    <sheetView workbookViewId="0"/>
  </sheetViews>
  <sheetFormatPr baseColWidth="10" defaultColWidth="8.83203125" defaultRowHeight="16" x14ac:dyDescent="0.2"/>
  <cols>
    <col min="1" max="1" width="25.5" customWidth="1"/>
    <col min="2" max="19" width="26.1640625" customWidth="1"/>
    <col min="20" max="20" width="24.6640625" customWidth="1"/>
    <col min="21" max="23" width="18.6640625" customWidth="1"/>
    <col min="24" max="24" width="16.6640625" customWidth="1"/>
    <col min="25" max="25" width="19" customWidth="1"/>
    <col min="26" max="26" width="17.6640625" customWidth="1"/>
    <col min="27" max="27" width="23.1640625" customWidth="1"/>
  </cols>
  <sheetData>
    <row r="5" spans="1:27" ht="42.75" customHeight="1" x14ac:dyDescent="0.2">
      <c r="A5" s="32">
        <v>2002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26.75" customHeight="1" x14ac:dyDescent="0.2">
      <c r="A6" s="22" t="s">
        <v>0</v>
      </c>
      <c r="B6" s="23" t="s">
        <v>77</v>
      </c>
      <c r="C6" s="23" t="s">
        <v>1</v>
      </c>
      <c r="D6" s="23" t="s">
        <v>98</v>
      </c>
      <c r="E6" s="23" t="s">
        <v>88</v>
      </c>
      <c r="F6" s="23" t="s">
        <v>90</v>
      </c>
      <c r="G6" s="23" t="s">
        <v>83</v>
      </c>
      <c r="H6" s="23" t="s">
        <v>89</v>
      </c>
      <c r="I6" s="23" t="s">
        <v>99</v>
      </c>
      <c r="J6" s="23" t="s">
        <v>79</v>
      </c>
      <c r="K6" s="23" t="s">
        <v>100</v>
      </c>
      <c r="L6" s="23" t="s">
        <v>101</v>
      </c>
      <c r="M6" s="23" t="s">
        <v>48</v>
      </c>
      <c r="N6" s="23" t="s">
        <v>73</v>
      </c>
      <c r="O6" s="23" t="s">
        <v>92</v>
      </c>
      <c r="P6" s="23" t="s">
        <v>94</v>
      </c>
      <c r="Q6" s="23" t="s">
        <v>80</v>
      </c>
      <c r="R6" s="23" t="s">
        <v>96</v>
      </c>
      <c r="S6" s="23" t="s">
        <v>86</v>
      </c>
      <c r="T6" s="23" t="s">
        <v>5</v>
      </c>
      <c r="U6" s="23" t="s">
        <v>6</v>
      </c>
      <c r="V6" s="23" t="s">
        <v>7</v>
      </c>
      <c r="W6" s="22" t="s">
        <v>8</v>
      </c>
      <c r="X6" s="22" t="s">
        <v>9</v>
      </c>
      <c r="Y6" s="22" t="s">
        <v>10</v>
      </c>
      <c r="Z6" s="22" t="s">
        <v>11</v>
      </c>
      <c r="AA6" s="22" t="s">
        <v>12</v>
      </c>
    </row>
    <row r="7" spans="1:27" ht="26.75" customHeight="1" x14ac:dyDescent="0.2">
      <c r="A7" s="22" t="s">
        <v>13</v>
      </c>
      <c r="B7" s="21">
        <v>86760</v>
      </c>
      <c r="C7" s="21">
        <v>87534</v>
      </c>
      <c r="D7" s="21">
        <v>59414</v>
      </c>
      <c r="E7" s="21">
        <v>21535</v>
      </c>
      <c r="F7" s="21">
        <v>8108</v>
      </c>
      <c r="G7" s="21">
        <v>3816</v>
      </c>
      <c r="H7" s="21">
        <v>4117</v>
      </c>
      <c r="I7" s="21">
        <v>1784</v>
      </c>
      <c r="J7" s="21">
        <v>10890</v>
      </c>
      <c r="K7" s="21">
        <v>383</v>
      </c>
      <c r="L7" s="21">
        <v>698</v>
      </c>
      <c r="M7" s="21">
        <v>0</v>
      </c>
      <c r="N7" s="21">
        <v>968</v>
      </c>
      <c r="O7" s="21">
        <v>346</v>
      </c>
      <c r="P7" s="21">
        <v>956</v>
      </c>
      <c r="Q7" s="21">
        <v>0</v>
      </c>
      <c r="R7" s="21">
        <v>0</v>
      </c>
      <c r="S7" s="21">
        <v>0</v>
      </c>
      <c r="T7" s="21">
        <v>3946</v>
      </c>
      <c r="U7" s="21">
        <v>5038</v>
      </c>
      <c r="V7" s="21">
        <v>114245</v>
      </c>
      <c r="W7" s="19">
        <f t="shared" ref="W7:W14" si="0">SUM(B7:V7)</f>
        <v>410538</v>
      </c>
      <c r="X7" s="19">
        <f t="shared" ref="X7:X14" si="1">SUM(B7:S7)</f>
        <v>287309</v>
      </c>
      <c r="Y7" s="19">
        <f t="shared" ref="Y7:Y14" si="2">SUM(B7:U7)</f>
        <v>296293</v>
      </c>
      <c r="Z7" s="20">
        <f t="shared" ref="Z7:Z14" si="3">(Y7-X7)/Y7</f>
        <v>3.032133732487774E-2</v>
      </c>
      <c r="AA7" s="20">
        <f t="shared" ref="AA7:AA14" si="4">V7/W7</f>
        <v>0.27828118225353071</v>
      </c>
    </row>
    <row r="8" spans="1:27" ht="26.75" customHeight="1" x14ac:dyDescent="0.2">
      <c r="A8" s="22" t="s">
        <v>14</v>
      </c>
      <c r="B8" s="21">
        <v>46949</v>
      </c>
      <c r="C8" s="21">
        <v>46432</v>
      </c>
      <c r="D8" s="21">
        <v>38094</v>
      </c>
      <c r="E8" s="21">
        <v>13395</v>
      </c>
      <c r="F8" s="21">
        <v>3692</v>
      </c>
      <c r="G8" s="21">
        <v>6807</v>
      </c>
      <c r="H8" s="21">
        <v>8151</v>
      </c>
      <c r="I8" s="21">
        <v>2094</v>
      </c>
      <c r="J8" s="21">
        <v>0</v>
      </c>
      <c r="K8" s="21">
        <v>5389</v>
      </c>
      <c r="L8" s="21">
        <v>620</v>
      </c>
      <c r="M8" s="21">
        <v>6974</v>
      </c>
      <c r="N8" s="21">
        <v>578</v>
      </c>
      <c r="O8" s="21">
        <v>535</v>
      </c>
      <c r="P8" s="21">
        <v>295</v>
      </c>
      <c r="Q8" s="21">
        <v>0</v>
      </c>
      <c r="R8" s="21">
        <v>1390</v>
      </c>
      <c r="S8" s="21">
        <v>1348</v>
      </c>
      <c r="T8" s="21">
        <v>2197</v>
      </c>
      <c r="U8" s="21">
        <v>4211</v>
      </c>
      <c r="V8" s="21">
        <v>72491</v>
      </c>
      <c r="W8" s="19">
        <f t="shared" si="0"/>
        <v>261642</v>
      </c>
      <c r="X8" s="19">
        <f t="shared" si="1"/>
        <v>182743</v>
      </c>
      <c r="Y8" s="19">
        <f t="shared" si="2"/>
        <v>189151</v>
      </c>
      <c r="Z8" s="20">
        <f t="shared" si="3"/>
        <v>3.3877695597697079E-2</v>
      </c>
      <c r="AA8" s="20">
        <f t="shared" si="4"/>
        <v>0.27706178671620002</v>
      </c>
    </row>
    <row r="9" spans="1:27" ht="26.75" customHeight="1" x14ac:dyDescent="0.2">
      <c r="A9" s="22" t="s">
        <v>15</v>
      </c>
      <c r="B9" s="21">
        <v>39378</v>
      </c>
      <c r="C9" s="21">
        <v>40575</v>
      </c>
      <c r="D9" s="21">
        <v>10688</v>
      </c>
      <c r="E9" s="21">
        <v>2865</v>
      </c>
      <c r="F9" s="21">
        <v>6474</v>
      </c>
      <c r="G9" s="21">
        <v>1208</v>
      </c>
      <c r="H9" s="21">
        <v>388</v>
      </c>
      <c r="I9" s="21">
        <v>822</v>
      </c>
      <c r="J9" s="21">
        <v>0</v>
      </c>
      <c r="K9" s="21">
        <v>215</v>
      </c>
      <c r="L9" s="21">
        <v>405</v>
      </c>
      <c r="M9" s="21">
        <v>0</v>
      </c>
      <c r="N9" s="21">
        <v>401</v>
      </c>
      <c r="O9" s="21">
        <v>141</v>
      </c>
      <c r="P9" s="21">
        <v>300</v>
      </c>
      <c r="Q9" s="21">
        <v>0</v>
      </c>
      <c r="R9" s="21">
        <v>0</v>
      </c>
      <c r="S9" s="21">
        <v>0</v>
      </c>
      <c r="T9" s="21">
        <v>1768</v>
      </c>
      <c r="U9" s="21">
        <v>2609</v>
      </c>
      <c r="V9" s="21">
        <v>46827</v>
      </c>
      <c r="W9" s="19">
        <f t="shared" si="0"/>
        <v>155064</v>
      </c>
      <c r="X9" s="19">
        <f t="shared" si="1"/>
        <v>103860</v>
      </c>
      <c r="Y9" s="19">
        <f t="shared" si="2"/>
        <v>108237</v>
      </c>
      <c r="Z9" s="20">
        <f t="shared" si="3"/>
        <v>4.0439036558662933E-2</v>
      </c>
      <c r="AA9" s="20">
        <f t="shared" si="4"/>
        <v>0.30198498684414177</v>
      </c>
    </row>
    <row r="10" spans="1:27" ht="26.75" customHeight="1" x14ac:dyDescent="0.2">
      <c r="A10" s="22" t="s">
        <v>16</v>
      </c>
      <c r="B10" s="21">
        <v>41462</v>
      </c>
      <c r="C10" s="21">
        <v>36523</v>
      </c>
      <c r="D10" s="21">
        <v>41606</v>
      </c>
      <c r="E10" s="21">
        <v>16122</v>
      </c>
      <c r="F10" s="21">
        <v>5290</v>
      </c>
      <c r="G10" s="21">
        <v>3515</v>
      </c>
      <c r="H10" s="21">
        <v>1491</v>
      </c>
      <c r="I10" s="21">
        <v>2026</v>
      </c>
      <c r="J10" s="21">
        <v>0</v>
      </c>
      <c r="K10" s="21">
        <v>204</v>
      </c>
      <c r="L10" s="21">
        <v>621</v>
      </c>
      <c r="M10" s="21">
        <v>0</v>
      </c>
      <c r="N10" s="21">
        <v>527</v>
      </c>
      <c r="O10" s="21">
        <v>239</v>
      </c>
      <c r="P10" s="21">
        <v>851</v>
      </c>
      <c r="Q10" s="21">
        <v>0</v>
      </c>
      <c r="R10" s="21">
        <v>0</v>
      </c>
      <c r="S10" s="21">
        <v>0</v>
      </c>
      <c r="T10" s="21">
        <v>1586</v>
      </c>
      <c r="U10" s="21">
        <v>2156</v>
      </c>
      <c r="V10" s="21">
        <v>60877</v>
      </c>
      <c r="W10" s="19">
        <f t="shared" si="0"/>
        <v>215096</v>
      </c>
      <c r="X10" s="19">
        <f t="shared" si="1"/>
        <v>150477</v>
      </c>
      <c r="Y10" s="19">
        <f t="shared" si="2"/>
        <v>154219</v>
      </c>
      <c r="Z10" s="20">
        <f t="shared" si="3"/>
        <v>2.4264195721668536E-2</v>
      </c>
      <c r="AA10" s="20">
        <f t="shared" si="4"/>
        <v>0.28302246438799422</v>
      </c>
    </row>
    <row r="11" spans="1:27" ht="26.75" customHeight="1" x14ac:dyDescent="0.2">
      <c r="A11" s="22" t="s">
        <v>17</v>
      </c>
      <c r="B11" s="21">
        <v>36175</v>
      </c>
      <c r="C11" s="21">
        <v>25442</v>
      </c>
      <c r="D11" s="21">
        <v>12300</v>
      </c>
      <c r="E11" s="21">
        <v>7855</v>
      </c>
      <c r="F11" s="21">
        <v>5414</v>
      </c>
      <c r="G11" s="21">
        <v>2624</v>
      </c>
      <c r="H11" s="21">
        <v>735</v>
      </c>
      <c r="I11" s="21">
        <v>1962</v>
      </c>
      <c r="J11" s="21">
        <v>0</v>
      </c>
      <c r="K11" s="21">
        <v>149</v>
      </c>
      <c r="L11" s="21">
        <v>338</v>
      </c>
      <c r="M11" s="21">
        <v>0</v>
      </c>
      <c r="N11" s="21">
        <v>811</v>
      </c>
      <c r="O11" s="21">
        <v>206</v>
      </c>
      <c r="P11" s="21">
        <v>460</v>
      </c>
      <c r="Q11" s="21">
        <v>2595</v>
      </c>
      <c r="R11" s="21">
        <v>0</v>
      </c>
      <c r="S11" s="21">
        <v>0</v>
      </c>
      <c r="T11" s="21">
        <v>2148</v>
      </c>
      <c r="U11" s="21">
        <v>3172</v>
      </c>
      <c r="V11" s="21">
        <v>72953</v>
      </c>
      <c r="W11" s="19">
        <f t="shared" si="0"/>
        <v>175339</v>
      </c>
      <c r="X11" s="19">
        <f t="shared" si="1"/>
        <v>97066</v>
      </c>
      <c r="Y11" s="19">
        <f t="shared" si="2"/>
        <v>102386</v>
      </c>
      <c r="Z11" s="20">
        <f t="shared" si="3"/>
        <v>5.1960228937550056E-2</v>
      </c>
      <c r="AA11" s="20">
        <f t="shared" si="4"/>
        <v>0.41606830197503125</v>
      </c>
    </row>
    <row r="12" spans="1:27" ht="26.75" customHeight="1" x14ac:dyDescent="0.2">
      <c r="A12" s="22" t="s">
        <v>18</v>
      </c>
      <c r="B12" s="21">
        <v>45338</v>
      </c>
      <c r="C12" s="21">
        <v>35659</v>
      </c>
      <c r="D12" s="21">
        <v>15496</v>
      </c>
      <c r="E12" s="21">
        <v>11995</v>
      </c>
      <c r="F12" s="21">
        <v>5082</v>
      </c>
      <c r="G12" s="21">
        <v>2127</v>
      </c>
      <c r="H12" s="21">
        <v>527</v>
      </c>
      <c r="I12" s="21">
        <v>991</v>
      </c>
      <c r="J12" s="21">
        <v>0</v>
      </c>
      <c r="K12" s="21">
        <v>362</v>
      </c>
      <c r="L12" s="21">
        <v>944</v>
      </c>
      <c r="M12" s="21">
        <v>0</v>
      </c>
      <c r="N12" s="21">
        <v>676</v>
      </c>
      <c r="O12" s="21">
        <v>193</v>
      </c>
      <c r="P12" s="21">
        <v>452</v>
      </c>
      <c r="Q12" s="21">
        <v>0</v>
      </c>
      <c r="R12" s="21">
        <v>0</v>
      </c>
      <c r="S12" s="21">
        <v>0</v>
      </c>
      <c r="T12" s="21">
        <v>2460</v>
      </c>
      <c r="U12" s="21">
        <v>3578</v>
      </c>
      <c r="V12" s="21">
        <v>80469</v>
      </c>
      <c r="W12" s="19">
        <f t="shared" si="0"/>
        <v>206349</v>
      </c>
      <c r="X12" s="19">
        <f t="shared" si="1"/>
        <v>119842</v>
      </c>
      <c r="Y12" s="19">
        <f t="shared" si="2"/>
        <v>125880</v>
      </c>
      <c r="Z12" s="20">
        <f t="shared" si="3"/>
        <v>4.7966317127422942E-2</v>
      </c>
      <c r="AA12" s="20">
        <f t="shared" si="4"/>
        <v>0.38996554381169768</v>
      </c>
    </row>
    <row r="13" spans="1:27" ht="26.75" customHeight="1" x14ac:dyDescent="0.2">
      <c r="A13" s="22" t="s">
        <v>19</v>
      </c>
      <c r="B13" s="21">
        <v>157139</v>
      </c>
      <c r="C13" s="21">
        <v>140218</v>
      </c>
      <c r="D13" s="21">
        <v>156564</v>
      </c>
      <c r="E13" s="21">
        <v>68385</v>
      </c>
      <c r="F13" s="21">
        <v>20639</v>
      </c>
      <c r="G13" s="21">
        <v>10075</v>
      </c>
      <c r="H13" s="21">
        <v>10675</v>
      </c>
      <c r="I13" s="21">
        <v>3313</v>
      </c>
      <c r="J13" s="21">
        <v>0</v>
      </c>
      <c r="K13" s="21">
        <v>1342</v>
      </c>
      <c r="L13" s="21">
        <v>3497</v>
      </c>
      <c r="M13" s="21">
        <v>0</v>
      </c>
      <c r="N13" s="21">
        <v>2864</v>
      </c>
      <c r="O13" s="21">
        <v>4223</v>
      </c>
      <c r="P13" s="21">
        <v>1623</v>
      </c>
      <c r="Q13" s="21">
        <v>0</v>
      </c>
      <c r="R13" s="21">
        <v>0</v>
      </c>
      <c r="S13" s="21">
        <v>0</v>
      </c>
      <c r="T13" s="21">
        <v>4918</v>
      </c>
      <c r="U13" s="21">
        <v>7697</v>
      </c>
      <c r="V13" s="21">
        <v>262651</v>
      </c>
      <c r="W13" s="19">
        <f t="shared" si="0"/>
        <v>855823</v>
      </c>
      <c r="X13" s="19">
        <f t="shared" si="1"/>
        <v>580557</v>
      </c>
      <c r="Y13" s="19">
        <f t="shared" si="2"/>
        <v>593172</v>
      </c>
      <c r="Z13" s="20">
        <f t="shared" si="3"/>
        <v>2.126701867249297E-2</v>
      </c>
      <c r="AA13" s="20">
        <f t="shared" si="4"/>
        <v>0.30689873957582353</v>
      </c>
    </row>
    <row r="14" spans="1:27" ht="26.75" customHeight="1" x14ac:dyDescent="0.2">
      <c r="A14" s="22" t="s">
        <v>20</v>
      </c>
      <c r="B14" s="19">
        <f t="shared" ref="B14:V14" si="5">SUM(B7:B13)</f>
        <v>453201</v>
      </c>
      <c r="C14" s="19">
        <f t="shared" si="5"/>
        <v>412383</v>
      </c>
      <c r="D14" s="19">
        <f t="shared" si="5"/>
        <v>334162</v>
      </c>
      <c r="E14" s="19">
        <f t="shared" si="5"/>
        <v>142152</v>
      </c>
      <c r="F14" s="19">
        <f t="shared" si="5"/>
        <v>54699</v>
      </c>
      <c r="G14" s="19">
        <f t="shared" si="5"/>
        <v>30172</v>
      </c>
      <c r="H14" s="19">
        <f t="shared" si="5"/>
        <v>26084</v>
      </c>
      <c r="I14" s="19">
        <f t="shared" si="5"/>
        <v>12992</v>
      </c>
      <c r="J14" s="19">
        <f t="shared" si="5"/>
        <v>10890</v>
      </c>
      <c r="K14" s="19">
        <f t="shared" si="5"/>
        <v>8044</v>
      </c>
      <c r="L14" s="19">
        <f t="shared" si="5"/>
        <v>7123</v>
      </c>
      <c r="M14" s="19">
        <f t="shared" si="5"/>
        <v>6974</v>
      </c>
      <c r="N14" s="19">
        <f t="shared" si="5"/>
        <v>6825</v>
      </c>
      <c r="O14" s="19">
        <f t="shared" si="5"/>
        <v>5883</v>
      </c>
      <c r="P14" s="19">
        <f t="shared" si="5"/>
        <v>4937</v>
      </c>
      <c r="Q14" s="19">
        <f t="shared" si="5"/>
        <v>2595</v>
      </c>
      <c r="R14" s="19">
        <f t="shared" si="5"/>
        <v>1390</v>
      </c>
      <c r="S14" s="19">
        <f t="shared" si="5"/>
        <v>1348</v>
      </c>
      <c r="T14" s="19">
        <f t="shared" si="5"/>
        <v>19023</v>
      </c>
      <c r="U14" s="19">
        <f t="shared" si="5"/>
        <v>28461</v>
      </c>
      <c r="V14" s="19">
        <f t="shared" si="5"/>
        <v>710513</v>
      </c>
      <c r="W14" s="19">
        <f t="shared" si="0"/>
        <v>2279851</v>
      </c>
      <c r="X14" s="19">
        <f t="shared" si="1"/>
        <v>1521854</v>
      </c>
      <c r="Y14" s="19">
        <f t="shared" si="2"/>
        <v>1569338</v>
      </c>
      <c r="Z14" s="20">
        <f t="shared" si="3"/>
        <v>3.0257344179520283E-2</v>
      </c>
      <c r="AA14" s="20">
        <f t="shared" si="4"/>
        <v>0.31164887529930685</v>
      </c>
    </row>
    <row r="15" spans="1:27" ht="26.75" customHeight="1" x14ac:dyDescent="0.2">
      <c r="A15" s="22" t="s">
        <v>21</v>
      </c>
      <c r="B15" s="20">
        <f t="shared" ref="B15:S15" si="6">B14/$X$14</f>
        <v>0.29779532070750547</v>
      </c>
      <c r="C15" s="20">
        <f t="shared" si="6"/>
        <v>0.27097408818454333</v>
      </c>
      <c r="D15" s="20">
        <f t="shared" si="6"/>
        <v>0.21957559660782178</v>
      </c>
      <c r="E15" s="20">
        <f t="shared" si="6"/>
        <v>9.3407120525359197E-2</v>
      </c>
      <c r="F15" s="20">
        <f t="shared" si="6"/>
        <v>3.5942344009346497E-2</v>
      </c>
      <c r="G15" s="20">
        <f t="shared" si="6"/>
        <v>1.9825817719702415E-2</v>
      </c>
      <c r="H15" s="20">
        <f t="shared" si="6"/>
        <v>1.7139620489219069E-2</v>
      </c>
      <c r="I15" s="20">
        <f t="shared" si="6"/>
        <v>8.5369555818100816E-3</v>
      </c>
      <c r="J15" s="20">
        <f t="shared" si="6"/>
        <v>7.1557455577210428E-3</v>
      </c>
      <c r="K15" s="20">
        <f t="shared" si="6"/>
        <v>5.285658151176131E-3</v>
      </c>
      <c r="L15" s="20">
        <f t="shared" si="6"/>
        <v>4.6804752624101916E-3</v>
      </c>
      <c r="M15" s="20">
        <f t="shared" si="6"/>
        <v>4.582568367267819E-3</v>
      </c>
      <c r="N15" s="20">
        <f t="shared" si="6"/>
        <v>4.4846614721254473E-3</v>
      </c>
      <c r="O15" s="20">
        <f t="shared" si="6"/>
        <v>3.865679624983737E-3</v>
      </c>
      <c r="P15" s="20">
        <f t="shared" si="6"/>
        <v>3.2440694048180706E-3</v>
      </c>
      <c r="Q15" s="20">
        <f t="shared" si="6"/>
        <v>1.7051569992916535E-3</v>
      </c>
      <c r="R15" s="20">
        <f t="shared" si="6"/>
        <v>9.1335962582481632E-4</v>
      </c>
      <c r="S15" s="20">
        <f t="shared" si="6"/>
        <v>8.8576170907327513E-4</v>
      </c>
    </row>
    <row r="16" spans="1:27" ht="26.75" customHeight="1" x14ac:dyDescent="0.2">
      <c r="A16" s="22" t="s">
        <v>22</v>
      </c>
      <c r="B16" s="20">
        <v>0.38579999999999998</v>
      </c>
      <c r="C16" s="20">
        <v>0.3105</v>
      </c>
      <c r="D16" s="20">
        <v>0.26190000000000002</v>
      </c>
      <c r="E16" s="20">
        <v>1.6899999999999998E-2</v>
      </c>
      <c r="F16" s="20">
        <v>1.0699999999999999E-2</v>
      </c>
      <c r="G16" s="20">
        <v>2.7000000000000001E-3</v>
      </c>
      <c r="H16" s="20">
        <v>4.1000000000000003E-3</v>
      </c>
      <c r="I16" s="20">
        <v>2.5999999999999999E-3</v>
      </c>
      <c r="J16" s="20">
        <v>0</v>
      </c>
      <c r="K16" s="20">
        <v>5.0000000000000001E-4</v>
      </c>
      <c r="L16" s="20">
        <v>1.1000000000000001E-3</v>
      </c>
      <c r="M16" s="20">
        <v>0</v>
      </c>
      <c r="N16" s="20">
        <v>8.0000000000000004E-4</v>
      </c>
      <c r="O16" s="20">
        <v>1.6999999999999999E-3</v>
      </c>
      <c r="P16" s="20">
        <v>5.9999999999999995E-4</v>
      </c>
      <c r="Q16" s="20">
        <v>0</v>
      </c>
      <c r="R16" s="20">
        <v>0</v>
      </c>
      <c r="S16" s="20">
        <v>0</v>
      </c>
    </row>
    <row r="17" spans="1:20" ht="26.75" customHeight="1" x14ac:dyDescent="0.2">
      <c r="A17" s="22" t="s">
        <v>23</v>
      </c>
      <c r="B17" s="23" t="str">
        <f t="shared" ref="B17:S17" si="7">B6</f>
        <v>UNIDAD SOCIAL CRISTIANA</v>
      </c>
      <c r="C17" s="23" t="str">
        <f t="shared" si="7"/>
        <v>LIBERACIÓN NACIONAL</v>
      </c>
      <c r="D17" s="23" t="str">
        <f t="shared" si="7"/>
        <v>ACCIÓN CIUDADANA</v>
      </c>
      <c r="E17" s="23" t="str">
        <f t="shared" si="7"/>
        <v>MOVIMIENTO LIBERTARIO</v>
      </c>
      <c r="F17" s="23" t="str">
        <f t="shared" si="7"/>
        <v>RENOVACIÓN COSTARRICENSE</v>
      </c>
      <c r="G17" s="23" t="str">
        <f t="shared" si="7"/>
        <v>FUERZA DEMOCRÁTICA</v>
      </c>
      <c r="H17" s="23" t="str">
        <f t="shared" si="7"/>
        <v>INTEGRACIÓN NACIONAL</v>
      </c>
      <c r="I17" s="23" t="str">
        <f t="shared" si="7"/>
        <v>CAMBIO 2000</v>
      </c>
      <c r="J17" s="23" t="str">
        <f t="shared" si="7"/>
        <v>ACCIÓN LABORISTA AGRÍCOLA</v>
      </c>
      <c r="K17" s="23" t="str">
        <f t="shared" si="7"/>
        <v>INDEPENDIENTE OBRERO</v>
      </c>
      <c r="L17" s="23" t="str">
        <f t="shared" si="7"/>
        <v>PATRIÓTICO NACIONAL</v>
      </c>
      <c r="M17" s="23" t="str">
        <f t="shared" si="7"/>
        <v>UNIÓN AGRÍCOLA CARTAGINÉS</v>
      </c>
      <c r="N17" s="23" t="str">
        <f t="shared" si="7"/>
        <v>ALIANZA NACIONAL CRISTIANA</v>
      </c>
      <c r="O17" s="23" t="str">
        <f t="shared" si="7"/>
        <v>UNIÓN GENERAL</v>
      </c>
      <c r="P17" s="23" t="str">
        <f t="shared" si="7"/>
        <v>RESCATE NACIONAL</v>
      </c>
      <c r="Q17" s="23" t="str">
        <f t="shared" si="7"/>
        <v>AGRARIO NACIONAL</v>
      </c>
      <c r="R17" s="23" t="str">
        <f t="shared" si="7"/>
        <v>FUERZA AGRARIA DE LOS CARTAGINESES</v>
      </c>
      <c r="S17" s="23" t="str">
        <f t="shared" si="7"/>
        <v>CONVERGENCIA NACIONAL</v>
      </c>
      <c r="T17" s="22" t="s">
        <v>24</v>
      </c>
    </row>
    <row r="18" spans="1:20" ht="26.75" customHeight="1" x14ac:dyDescent="0.2">
      <c r="A18" s="22" t="s">
        <v>13</v>
      </c>
      <c r="B18" s="21">
        <v>4</v>
      </c>
      <c r="C18" s="21">
        <v>4</v>
      </c>
      <c r="D18" s="21">
        <v>2</v>
      </c>
      <c r="E18" s="21">
        <v>1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19">
        <f t="shared" ref="T18:T24" si="8">SUM(B18:S18)</f>
        <v>11</v>
      </c>
    </row>
    <row r="19" spans="1:20" ht="26.75" customHeight="1" x14ac:dyDescent="0.2">
      <c r="A19" s="22" t="s">
        <v>14</v>
      </c>
      <c r="B19" s="21">
        <v>2</v>
      </c>
      <c r="C19" s="21">
        <v>2</v>
      </c>
      <c r="D19" s="21">
        <v>2</v>
      </c>
      <c r="E19" s="21">
        <v>1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19">
        <f t="shared" si="8"/>
        <v>7</v>
      </c>
    </row>
    <row r="20" spans="1:20" ht="26.75" customHeight="1" x14ac:dyDescent="0.2">
      <c r="A20" s="22" t="s">
        <v>15</v>
      </c>
      <c r="B20" s="21">
        <v>2</v>
      </c>
      <c r="C20" s="21">
        <v>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19">
        <f t="shared" si="8"/>
        <v>4</v>
      </c>
    </row>
    <row r="21" spans="1:20" ht="26.75" customHeight="1" x14ac:dyDescent="0.2">
      <c r="A21" s="22" t="s">
        <v>16</v>
      </c>
      <c r="B21" s="21">
        <v>1</v>
      </c>
      <c r="C21" s="21">
        <v>1</v>
      </c>
      <c r="D21" s="21">
        <v>2</v>
      </c>
      <c r="E21" s="21">
        <v>1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19">
        <f t="shared" si="8"/>
        <v>5</v>
      </c>
    </row>
    <row r="22" spans="1:20" ht="26.75" customHeight="1" x14ac:dyDescent="0.2">
      <c r="A22" s="22" t="s">
        <v>17</v>
      </c>
      <c r="B22" s="21">
        <v>2</v>
      </c>
      <c r="C22" s="21">
        <v>2</v>
      </c>
      <c r="D22" s="21">
        <v>1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19">
        <f t="shared" si="8"/>
        <v>5</v>
      </c>
    </row>
    <row r="23" spans="1:20" ht="26.75" customHeight="1" x14ac:dyDescent="0.2">
      <c r="A23" s="22" t="s">
        <v>18</v>
      </c>
      <c r="B23" s="21">
        <v>2</v>
      </c>
      <c r="C23" s="21">
        <v>1</v>
      </c>
      <c r="D23" s="21">
        <v>1</v>
      </c>
      <c r="E23" s="21">
        <v>1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19">
        <f t="shared" si="8"/>
        <v>5</v>
      </c>
    </row>
    <row r="24" spans="1:20" ht="26.75" customHeight="1" x14ac:dyDescent="0.2">
      <c r="A24" s="22" t="s">
        <v>19</v>
      </c>
      <c r="B24" s="21">
        <v>6</v>
      </c>
      <c r="C24" s="21">
        <v>5</v>
      </c>
      <c r="D24" s="21">
        <v>6</v>
      </c>
      <c r="E24" s="21">
        <v>2</v>
      </c>
      <c r="F24" s="21">
        <v>1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19">
        <f t="shared" si="8"/>
        <v>20</v>
      </c>
    </row>
    <row r="25" spans="1:20" ht="26.75" customHeight="1" x14ac:dyDescent="0.2">
      <c r="A25" s="18"/>
      <c r="B25" s="19">
        <f t="shared" ref="B25:T25" si="9">SUM(B18:B24)</f>
        <v>19</v>
      </c>
      <c r="C25" s="19">
        <f t="shared" si="9"/>
        <v>17</v>
      </c>
      <c r="D25" s="19">
        <f t="shared" si="9"/>
        <v>14</v>
      </c>
      <c r="E25" s="19">
        <f t="shared" si="9"/>
        <v>6</v>
      </c>
      <c r="F25" s="19">
        <f t="shared" si="9"/>
        <v>1</v>
      </c>
      <c r="G25" s="19">
        <f t="shared" si="9"/>
        <v>0</v>
      </c>
      <c r="H25" s="19">
        <f t="shared" si="9"/>
        <v>0</v>
      </c>
      <c r="I25" s="19">
        <f t="shared" si="9"/>
        <v>0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57</v>
      </c>
    </row>
  </sheetData>
  <mergeCells count="1">
    <mergeCell ref="A5:AA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5:AJ27"/>
  <sheetViews>
    <sheetView workbookViewId="0"/>
  </sheetViews>
  <sheetFormatPr baseColWidth="10" defaultColWidth="8.83203125" defaultRowHeight="16" x14ac:dyDescent="0.2"/>
  <cols>
    <col min="1" max="1" width="25.5" customWidth="1"/>
    <col min="2" max="28" width="26.1640625" customWidth="1"/>
    <col min="29" max="29" width="24.6640625" customWidth="1"/>
    <col min="30" max="32" width="18.6640625" customWidth="1"/>
    <col min="33" max="33" width="16.6640625" customWidth="1"/>
    <col min="34" max="34" width="19" customWidth="1"/>
    <col min="35" max="35" width="17.6640625" customWidth="1"/>
    <col min="36" max="36" width="23.1640625" customWidth="1"/>
  </cols>
  <sheetData>
    <row r="5" spans="1:36" ht="42.75" customHeight="1" x14ac:dyDescent="0.2">
      <c r="A5" s="32">
        <v>2006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ht="26.75" customHeight="1" x14ac:dyDescent="0.2">
      <c r="A6" s="22" t="s">
        <v>0</v>
      </c>
      <c r="B6" s="23" t="s">
        <v>1</v>
      </c>
      <c r="C6" s="23" t="s">
        <v>98</v>
      </c>
      <c r="D6" s="23" t="s">
        <v>88</v>
      </c>
      <c r="E6" s="23" t="s">
        <v>77</v>
      </c>
      <c r="F6" s="23" t="s">
        <v>90</v>
      </c>
      <c r="G6" s="23" t="s">
        <v>4</v>
      </c>
      <c r="H6" s="23" t="s">
        <v>102</v>
      </c>
      <c r="I6" s="23" t="s">
        <v>103</v>
      </c>
      <c r="J6" s="23" t="s">
        <v>104</v>
      </c>
      <c r="K6" s="23" t="s">
        <v>105</v>
      </c>
      <c r="L6" s="23" t="s">
        <v>106</v>
      </c>
      <c r="M6" s="23" t="s">
        <v>107</v>
      </c>
      <c r="N6" s="23" t="s">
        <v>83</v>
      </c>
      <c r="O6" s="23" t="s">
        <v>89</v>
      </c>
      <c r="P6" s="23" t="s">
        <v>79</v>
      </c>
      <c r="Q6" s="23" t="s">
        <v>48</v>
      </c>
      <c r="R6" s="23" t="s">
        <v>108</v>
      </c>
      <c r="S6" s="23" t="s">
        <v>65</v>
      </c>
      <c r="T6" s="23" t="s">
        <v>109</v>
      </c>
      <c r="U6" s="23" t="s">
        <v>85</v>
      </c>
      <c r="V6" s="23" t="s">
        <v>110</v>
      </c>
      <c r="W6" s="23" t="s">
        <v>111</v>
      </c>
      <c r="X6" s="23" t="s">
        <v>112</v>
      </c>
      <c r="Y6" s="23" t="s">
        <v>113</v>
      </c>
      <c r="Z6" s="23" t="s">
        <v>114</v>
      </c>
      <c r="AA6" s="23" t="s">
        <v>96</v>
      </c>
      <c r="AB6" s="23" t="s">
        <v>115</v>
      </c>
      <c r="AC6" s="23" t="s">
        <v>5</v>
      </c>
      <c r="AD6" s="23" t="s">
        <v>6</v>
      </c>
      <c r="AE6" s="23" t="s">
        <v>7</v>
      </c>
      <c r="AF6" s="22" t="s">
        <v>8</v>
      </c>
      <c r="AG6" s="22" t="s">
        <v>9</v>
      </c>
      <c r="AH6" s="22" t="s">
        <v>10</v>
      </c>
      <c r="AI6" s="22" t="s">
        <v>11</v>
      </c>
      <c r="AJ6" s="22" t="s">
        <v>12</v>
      </c>
    </row>
    <row r="7" spans="1:36" ht="26.75" customHeight="1" x14ac:dyDescent="0.2">
      <c r="A7" s="22" t="s">
        <v>13</v>
      </c>
      <c r="B7" s="21">
        <v>114567</v>
      </c>
      <c r="C7" s="21">
        <v>85277</v>
      </c>
      <c r="D7" s="21">
        <v>24021</v>
      </c>
      <c r="E7" s="21">
        <v>21257</v>
      </c>
      <c r="F7" s="21">
        <v>12868</v>
      </c>
      <c r="G7" s="21">
        <v>7829</v>
      </c>
      <c r="H7" s="21">
        <v>7399</v>
      </c>
      <c r="I7" s="21">
        <v>0</v>
      </c>
      <c r="J7" s="21">
        <v>3958</v>
      </c>
      <c r="K7" s="21">
        <v>0</v>
      </c>
      <c r="L7" s="21">
        <v>0</v>
      </c>
      <c r="M7" s="21">
        <v>4260</v>
      </c>
      <c r="N7" s="21">
        <v>2223</v>
      </c>
      <c r="O7" s="21">
        <v>1397</v>
      </c>
      <c r="P7" s="21">
        <v>11713</v>
      </c>
      <c r="Q7" s="21">
        <v>0</v>
      </c>
      <c r="R7" s="21">
        <v>1953</v>
      </c>
      <c r="S7" s="21">
        <v>7867</v>
      </c>
      <c r="T7" s="21">
        <v>791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2907</v>
      </c>
      <c r="AD7" s="21">
        <v>6475</v>
      </c>
      <c r="AE7" s="21">
        <v>149109</v>
      </c>
      <c r="AF7" s="19">
        <f t="shared" ref="AF7:AF14" si="0">SUM(B7:AE7)</f>
        <v>465871</v>
      </c>
      <c r="AG7" s="19">
        <f t="shared" ref="AG7:AG14" si="1">SUM(B7:AB7)</f>
        <v>307380</v>
      </c>
      <c r="AH7" s="19">
        <f t="shared" ref="AH7:AH14" si="2">SUM(B7:AD7)</f>
        <v>316762</v>
      </c>
      <c r="AI7" s="20">
        <f t="shared" ref="AI7:AI14" si="3">(AH7-AG7)/AH7</f>
        <v>2.9618451708222578E-2</v>
      </c>
      <c r="AJ7" s="20">
        <f t="shared" ref="AJ7:AJ14" si="4">AE7/AF7</f>
        <v>0.32006499653337511</v>
      </c>
    </row>
    <row r="8" spans="1:36" ht="26.75" customHeight="1" x14ac:dyDescent="0.2">
      <c r="A8" s="22" t="s">
        <v>14</v>
      </c>
      <c r="B8" s="21">
        <v>70244</v>
      </c>
      <c r="C8" s="21">
        <v>55278</v>
      </c>
      <c r="D8" s="21">
        <v>20808</v>
      </c>
      <c r="E8" s="21">
        <v>14193</v>
      </c>
      <c r="F8" s="21">
        <v>3907</v>
      </c>
      <c r="G8" s="21">
        <v>3799</v>
      </c>
      <c r="H8" s="21">
        <v>5500</v>
      </c>
      <c r="I8" s="21">
        <v>0</v>
      </c>
      <c r="J8" s="21">
        <v>2877</v>
      </c>
      <c r="K8" s="21">
        <v>0</v>
      </c>
      <c r="L8" s="21">
        <v>0</v>
      </c>
      <c r="M8" s="21">
        <v>1603</v>
      </c>
      <c r="N8" s="21">
        <v>1367</v>
      </c>
      <c r="O8" s="21">
        <v>2121</v>
      </c>
      <c r="P8" s="21">
        <v>0</v>
      </c>
      <c r="Q8" s="21">
        <v>9395</v>
      </c>
      <c r="R8" s="21">
        <v>913</v>
      </c>
      <c r="S8" s="21">
        <v>0</v>
      </c>
      <c r="T8" s="21">
        <v>581</v>
      </c>
      <c r="U8" s="21">
        <v>0</v>
      </c>
      <c r="V8" s="21">
        <v>0</v>
      </c>
      <c r="W8" s="21">
        <v>2835</v>
      </c>
      <c r="X8" s="21">
        <v>0</v>
      </c>
      <c r="Y8" s="21">
        <v>1885</v>
      </c>
      <c r="Z8" s="21">
        <v>0</v>
      </c>
      <c r="AA8" s="21">
        <v>1482</v>
      </c>
      <c r="AB8" s="21">
        <v>1002</v>
      </c>
      <c r="AC8" s="21">
        <v>2021</v>
      </c>
      <c r="AD8" s="21">
        <v>4896</v>
      </c>
      <c r="AE8" s="21">
        <v>88487</v>
      </c>
      <c r="AF8" s="19">
        <f t="shared" si="0"/>
        <v>295194</v>
      </c>
      <c r="AG8" s="19">
        <f t="shared" si="1"/>
        <v>199790</v>
      </c>
      <c r="AH8" s="19">
        <f t="shared" si="2"/>
        <v>206707</v>
      </c>
      <c r="AI8" s="20">
        <f t="shared" si="3"/>
        <v>3.3462824190762769E-2</v>
      </c>
      <c r="AJ8" s="20">
        <f t="shared" si="4"/>
        <v>0.29975880268569144</v>
      </c>
    </row>
    <row r="9" spans="1:36" ht="26.75" customHeight="1" x14ac:dyDescent="0.2">
      <c r="A9" s="22" t="s">
        <v>15</v>
      </c>
      <c r="B9" s="21">
        <v>46353</v>
      </c>
      <c r="C9" s="21">
        <v>17194</v>
      </c>
      <c r="D9" s="21">
        <v>7511</v>
      </c>
      <c r="E9" s="21">
        <v>11282</v>
      </c>
      <c r="F9" s="21">
        <v>5073</v>
      </c>
      <c r="G9" s="21">
        <v>3178</v>
      </c>
      <c r="H9" s="21">
        <v>1900</v>
      </c>
      <c r="I9" s="21">
        <v>0</v>
      </c>
      <c r="J9" s="21">
        <v>852</v>
      </c>
      <c r="K9" s="21">
        <v>0</v>
      </c>
      <c r="L9" s="21">
        <v>0</v>
      </c>
      <c r="M9" s="21">
        <v>2849</v>
      </c>
      <c r="N9" s="21">
        <v>681</v>
      </c>
      <c r="O9" s="21">
        <v>412</v>
      </c>
      <c r="P9" s="21">
        <v>0</v>
      </c>
      <c r="Q9" s="21">
        <v>0</v>
      </c>
      <c r="R9" s="21">
        <v>1201</v>
      </c>
      <c r="S9" s="21">
        <v>0</v>
      </c>
      <c r="T9" s="21">
        <v>199</v>
      </c>
      <c r="U9" s="21">
        <v>5010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1415</v>
      </c>
      <c r="AD9" s="21">
        <v>3343</v>
      </c>
      <c r="AE9" s="21">
        <v>66177</v>
      </c>
      <c r="AF9" s="19">
        <f t="shared" si="0"/>
        <v>174630</v>
      </c>
      <c r="AG9" s="19">
        <f t="shared" si="1"/>
        <v>103695</v>
      </c>
      <c r="AH9" s="19">
        <f t="shared" si="2"/>
        <v>108453</v>
      </c>
      <c r="AI9" s="20">
        <f t="shared" si="3"/>
        <v>4.3871538823269066E-2</v>
      </c>
      <c r="AJ9" s="20">
        <f t="shared" si="4"/>
        <v>0.3789555059268167</v>
      </c>
    </row>
    <row r="10" spans="1:36" ht="26.75" customHeight="1" x14ac:dyDescent="0.2">
      <c r="A10" s="22" t="s">
        <v>16</v>
      </c>
      <c r="B10" s="21">
        <v>60910</v>
      </c>
      <c r="C10" s="21">
        <v>51324</v>
      </c>
      <c r="D10" s="21">
        <v>15079</v>
      </c>
      <c r="E10" s="21">
        <v>13859</v>
      </c>
      <c r="F10" s="21">
        <v>7098</v>
      </c>
      <c r="G10" s="21">
        <v>3105</v>
      </c>
      <c r="H10" s="21">
        <v>3642</v>
      </c>
      <c r="I10" s="21">
        <v>0</v>
      </c>
      <c r="J10" s="21">
        <v>2680</v>
      </c>
      <c r="K10" s="21">
        <v>0</v>
      </c>
      <c r="L10" s="21">
        <v>0</v>
      </c>
      <c r="M10" s="21">
        <v>2091</v>
      </c>
      <c r="N10" s="21">
        <v>1141</v>
      </c>
      <c r="O10" s="21">
        <v>1308</v>
      </c>
      <c r="P10" s="21">
        <v>0</v>
      </c>
      <c r="Q10" s="21">
        <v>0</v>
      </c>
      <c r="R10" s="21">
        <v>1031</v>
      </c>
      <c r="S10" s="21">
        <v>0</v>
      </c>
      <c r="T10" s="21">
        <v>684</v>
      </c>
      <c r="U10" s="21">
        <v>0</v>
      </c>
      <c r="V10" s="21">
        <v>3556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1274</v>
      </c>
      <c r="AD10" s="21">
        <v>2888</v>
      </c>
      <c r="AE10" s="21">
        <v>74323</v>
      </c>
      <c r="AF10" s="19">
        <f t="shared" si="0"/>
        <v>245993</v>
      </c>
      <c r="AG10" s="19">
        <f t="shared" si="1"/>
        <v>167508</v>
      </c>
      <c r="AH10" s="19">
        <f t="shared" si="2"/>
        <v>171670</v>
      </c>
      <c r="AI10" s="20">
        <f t="shared" si="3"/>
        <v>2.424418943321489E-2</v>
      </c>
      <c r="AJ10" s="20">
        <f t="shared" si="4"/>
        <v>0.30213461358656546</v>
      </c>
    </row>
    <row r="11" spans="1:36" ht="26.75" customHeight="1" x14ac:dyDescent="0.2">
      <c r="A11" s="22" t="s">
        <v>17</v>
      </c>
      <c r="B11" s="21">
        <v>38669</v>
      </c>
      <c r="C11" s="21">
        <v>18223</v>
      </c>
      <c r="D11" s="21">
        <v>12264</v>
      </c>
      <c r="E11" s="21">
        <v>12890</v>
      </c>
      <c r="F11" s="21">
        <v>7545</v>
      </c>
      <c r="G11" s="21">
        <v>3970</v>
      </c>
      <c r="H11" s="21">
        <v>3240</v>
      </c>
      <c r="I11" s="21">
        <v>0</v>
      </c>
      <c r="J11" s="21">
        <v>1414</v>
      </c>
      <c r="K11" s="21">
        <v>0</v>
      </c>
      <c r="L11" s="21">
        <v>0</v>
      </c>
      <c r="M11" s="21">
        <v>665</v>
      </c>
      <c r="N11" s="21">
        <v>1632</v>
      </c>
      <c r="O11" s="21">
        <v>861</v>
      </c>
      <c r="P11" s="21">
        <v>0</v>
      </c>
      <c r="Q11" s="21">
        <v>0</v>
      </c>
      <c r="R11" s="21">
        <v>724</v>
      </c>
      <c r="S11" s="21">
        <v>0</v>
      </c>
      <c r="T11" s="21">
        <v>1046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1507</v>
      </c>
      <c r="AA11" s="21">
        <v>0</v>
      </c>
      <c r="AB11" s="21">
        <v>0</v>
      </c>
      <c r="AC11" s="21">
        <v>1626</v>
      </c>
      <c r="AD11" s="21">
        <v>3962</v>
      </c>
      <c r="AE11" s="21">
        <v>90350</v>
      </c>
      <c r="AF11" s="19">
        <f t="shared" si="0"/>
        <v>200588</v>
      </c>
      <c r="AG11" s="19">
        <f t="shared" si="1"/>
        <v>104650</v>
      </c>
      <c r="AH11" s="19">
        <f t="shared" si="2"/>
        <v>110238</v>
      </c>
      <c r="AI11" s="20">
        <f t="shared" si="3"/>
        <v>5.0690324570474794E-2</v>
      </c>
      <c r="AJ11" s="20">
        <f t="shared" si="4"/>
        <v>0.45042574829999799</v>
      </c>
    </row>
    <row r="12" spans="1:36" ht="26.75" customHeight="1" x14ac:dyDescent="0.2">
      <c r="A12" s="22" t="s">
        <v>18</v>
      </c>
      <c r="B12" s="21">
        <v>54559</v>
      </c>
      <c r="C12" s="21">
        <v>22684</v>
      </c>
      <c r="D12" s="21">
        <v>12216</v>
      </c>
      <c r="E12" s="21">
        <v>14969</v>
      </c>
      <c r="F12" s="21">
        <v>6610</v>
      </c>
      <c r="G12" s="21">
        <v>1595</v>
      </c>
      <c r="H12" s="21">
        <v>2660</v>
      </c>
      <c r="I12" s="21">
        <v>0</v>
      </c>
      <c r="J12" s="21">
        <v>1939</v>
      </c>
      <c r="K12" s="21">
        <v>0</v>
      </c>
      <c r="L12" s="21">
        <v>0</v>
      </c>
      <c r="M12" s="21">
        <v>1185</v>
      </c>
      <c r="N12" s="21">
        <v>1976</v>
      </c>
      <c r="O12" s="21">
        <v>345</v>
      </c>
      <c r="P12" s="21">
        <v>0</v>
      </c>
      <c r="Q12" s="21">
        <v>0</v>
      </c>
      <c r="R12" s="21">
        <v>827</v>
      </c>
      <c r="S12" s="21">
        <v>0</v>
      </c>
      <c r="T12" s="21">
        <v>406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1712</v>
      </c>
      <c r="AD12" s="21">
        <v>3423</v>
      </c>
      <c r="AE12" s="21">
        <v>104405</v>
      </c>
      <c r="AF12" s="19">
        <f t="shared" si="0"/>
        <v>231511</v>
      </c>
      <c r="AG12" s="19">
        <f t="shared" si="1"/>
        <v>121971</v>
      </c>
      <c r="AH12" s="19">
        <f t="shared" si="2"/>
        <v>127106</v>
      </c>
      <c r="AI12" s="20">
        <f t="shared" si="3"/>
        <v>4.0399351722184632E-2</v>
      </c>
      <c r="AJ12" s="20">
        <f t="shared" si="4"/>
        <v>0.45097209203882321</v>
      </c>
    </row>
    <row r="13" spans="1:36" ht="26.75" customHeight="1" x14ac:dyDescent="0.2">
      <c r="A13" s="22" t="s">
        <v>19</v>
      </c>
      <c r="B13" s="21">
        <v>204429</v>
      </c>
      <c r="C13" s="21">
        <v>159050</v>
      </c>
      <c r="D13" s="21">
        <v>56035</v>
      </c>
      <c r="E13" s="21">
        <v>37834</v>
      </c>
      <c r="F13" s="21">
        <v>12697</v>
      </c>
      <c r="G13" s="21">
        <v>16804</v>
      </c>
      <c r="H13" s="21">
        <v>13653</v>
      </c>
      <c r="I13" s="21">
        <v>32909</v>
      </c>
      <c r="J13" s="21">
        <v>12718</v>
      </c>
      <c r="K13" s="21">
        <v>25690</v>
      </c>
      <c r="L13" s="21">
        <v>17751</v>
      </c>
      <c r="M13" s="21">
        <v>1884</v>
      </c>
      <c r="N13" s="21">
        <v>4655</v>
      </c>
      <c r="O13" s="21">
        <v>6501</v>
      </c>
      <c r="P13" s="21">
        <v>0</v>
      </c>
      <c r="Q13" s="21">
        <v>0</v>
      </c>
      <c r="R13" s="21">
        <v>1963</v>
      </c>
      <c r="S13" s="21">
        <v>0</v>
      </c>
      <c r="T13" s="21">
        <v>2037</v>
      </c>
      <c r="U13" s="21">
        <v>0</v>
      </c>
      <c r="V13" s="21">
        <v>0</v>
      </c>
      <c r="W13" s="21">
        <v>0</v>
      </c>
      <c r="X13" s="21">
        <v>2357</v>
      </c>
      <c r="Y13" s="21">
        <v>0</v>
      </c>
      <c r="Z13" s="21">
        <v>0</v>
      </c>
      <c r="AA13" s="21">
        <v>0</v>
      </c>
      <c r="AB13" s="21">
        <v>0</v>
      </c>
      <c r="AC13" s="21">
        <v>3697</v>
      </c>
      <c r="AD13" s="21">
        <v>9299</v>
      </c>
      <c r="AE13" s="21">
        <v>314863</v>
      </c>
      <c r="AF13" s="19">
        <f t="shared" si="0"/>
        <v>936826</v>
      </c>
      <c r="AG13" s="19">
        <f t="shared" si="1"/>
        <v>608967</v>
      </c>
      <c r="AH13" s="19">
        <f t="shared" si="2"/>
        <v>621963</v>
      </c>
      <c r="AI13" s="20">
        <f t="shared" si="3"/>
        <v>2.089513363335118E-2</v>
      </c>
      <c r="AJ13" s="20">
        <f t="shared" si="4"/>
        <v>0.33609549692258756</v>
      </c>
    </row>
    <row r="14" spans="1:36" ht="26.75" customHeight="1" x14ac:dyDescent="0.2">
      <c r="A14" s="22" t="s">
        <v>20</v>
      </c>
      <c r="B14" s="19">
        <f t="shared" ref="B14:AE14" si="5">SUM(B7:B13)</f>
        <v>589731</v>
      </c>
      <c r="C14" s="19">
        <f t="shared" si="5"/>
        <v>409030</v>
      </c>
      <c r="D14" s="19">
        <f t="shared" si="5"/>
        <v>147934</v>
      </c>
      <c r="E14" s="19">
        <f t="shared" si="5"/>
        <v>126284</v>
      </c>
      <c r="F14" s="19">
        <f t="shared" si="5"/>
        <v>55798</v>
      </c>
      <c r="G14" s="19">
        <f t="shared" si="5"/>
        <v>40280</v>
      </c>
      <c r="H14" s="19">
        <f t="shared" si="5"/>
        <v>37994</v>
      </c>
      <c r="I14" s="19">
        <f t="shared" si="5"/>
        <v>32909</v>
      </c>
      <c r="J14" s="19">
        <f t="shared" si="5"/>
        <v>26438</v>
      </c>
      <c r="K14" s="19">
        <f t="shared" si="5"/>
        <v>25690</v>
      </c>
      <c r="L14" s="19">
        <f t="shared" si="5"/>
        <v>17751</v>
      </c>
      <c r="M14" s="19">
        <f t="shared" si="5"/>
        <v>14537</v>
      </c>
      <c r="N14" s="19">
        <f t="shared" si="5"/>
        <v>13675</v>
      </c>
      <c r="O14" s="19">
        <f t="shared" si="5"/>
        <v>12945</v>
      </c>
      <c r="P14" s="19">
        <f t="shared" si="5"/>
        <v>11713</v>
      </c>
      <c r="Q14" s="19">
        <f t="shared" si="5"/>
        <v>9395</v>
      </c>
      <c r="R14" s="19">
        <f t="shared" si="5"/>
        <v>8612</v>
      </c>
      <c r="S14" s="19">
        <f t="shared" si="5"/>
        <v>7867</v>
      </c>
      <c r="T14" s="19">
        <f t="shared" si="5"/>
        <v>5744</v>
      </c>
      <c r="U14" s="19">
        <f t="shared" si="5"/>
        <v>5010</v>
      </c>
      <c r="V14" s="19">
        <f t="shared" si="5"/>
        <v>3556</v>
      </c>
      <c r="W14" s="19">
        <f t="shared" si="5"/>
        <v>2835</v>
      </c>
      <c r="X14" s="19">
        <f t="shared" si="5"/>
        <v>2357</v>
      </c>
      <c r="Y14" s="19">
        <f t="shared" si="5"/>
        <v>1885</v>
      </c>
      <c r="Z14" s="19">
        <f t="shared" si="5"/>
        <v>1507</v>
      </c>
      <c r="AA14" s="19">
        <f t="shared" si="5"/>
        <v>1482</v>
      </c>
      <c r="AB14" s="19">
        <f t="shared" si="5"/>
        <v>1002</v>
      </c>
      <c r="AC14" s="19">
        <f t="shared" si="5"/>
        <v>14652</v>
      </c>
      <c r="AD14" s="19">
        <f t="shared" si="5"/>
        <v>34286</v>
      </c>
      <c r="AE14" s="19">
        <f t="shared" si="5"/>
        <v>887714</v>
      </c>
      <c r="AF14" s="19">
        <f t="shared" si="0"/>
        <v>2550613</v>
      </c>
      <c r="AG14" s="19">
        <f t="shared" si="1"/>
        <v>1613961</v>
      </c>
      <c r="AH14" s="19">
        <f t="shared" si="2"/>
        <v>1662899</v>
      </c>
      <c r="AI14" s="20">
        <f t="shared" si="3"/>
        <v>2.9429327938738311E-2</v>
      </c>
      <c r="AJ14" s="20">
        <f t="shared" si="4"/>
        <v>0.34803947129572382</v>
      </c>
    </row>
    <row r="15" spans="1:36" ht="26.75" customHeight="1" x14ac:dyDescent="0.2">
      <c r="A15" s="22" t="s">
        <v>21</v>
      </c>
      <c r="B15" s="20">
        <f t="shared" ref="B15:AB15" si="6">B14/$AG$14</f>
        <v>0.36539358757739498</v>
      </c>
      <c r="C15" s="20">
        <f t="shared" si="6"/>
        <v>0.25343239396738831</v>
      </c>
      <c r="D15" s="20">
        <f t="shared" si="6"/>
        <v>9.1658968215464931E-2</v>
      </c>
      <c r="E15" s="20">
        <f t="shared" si="6"/>
        <v>7.8244765517878068E-2</v>
      </c>
      <c r="F15" s="20">
        <f t="shared" si="6"/>
        <v>3.4572086933946977E-2</v>
      </c>
      <c r="G15" s="20">
        <f t="shared" si="6"/>
        <v>2.4957232547750535E-2</v>
      </c>
      <c r="H15" s="20">
        <f t="shared" si="6"/>
        <v>2.3540841445363302E-2</v>
      </c>
      <c r="I15" s="20">
        <f t="shared" si="6"/>
        <v>2.0390207693990126E-2</v>
      </c>
      <c r="J15" s="20">
        <f t="shared" si="6"/>
        <v>1.638081713250816E-2</v>
      </c>
      <c r="K15" s="20">
        <f t="shared" si="6"/>
        <v>1.5917361076258969E-2</v>
      </c>
      <c r="L15" s="20">
        <f t="shared" si="6"/>
        <v>1.0998407024705057E-2</v>
      </c>
      <c r="M15" s="20">
        <f t="shared" si="6"/>
        <v>9.0070330076129478E-3</v>
      </c>
      <c r="N15" s="20">
        <f t="shared" si="6"/>
        <v>8.472943274341822E-3</v>
      </c>
      <c r="O15" s="20">
        <f t="shared" si="6"/>
        <v>8.0206399039381999E-3</v>
      </c>
      <c r="P15" s="20">
        <f t="shared" si="6"/>
        <v>7.2573005171748268E-3</v>
      </c>
      <c r="Q15" s="20">
        <f t="shared" si="6"/>
        <v>5.8210824177288047E-3</v>
      </c>
      <c r="R15" s="20">
        <f t="shared" si="6"/>
        <v>5.3359405834465645E-3</v>
      </c>
      <c r="S15" s="20">
        <f t="shared" si="6"/>
        <v>4.8743433081716346E-3</v>
      </c>
      <c r="T15" s="20">
        <f t="shared" si="6"/>
        <v>3.5589459720526085E-3</v>
      </c>
      <c r="U15" s="20">
        <f t="shared" si="6"/>
        <v>3.1041642270166381E-3</v>
      </c>
      <c r="V15" s="20">
        <f t="shared" si="6"/>
        <v>2.2032750481579171E-3</v>
      </c>
      <c r="W15" s="20">
        <f t="shared" si="6"/>
        <v>1.7565480206770795E-3</v>
      </c>
      <c r="X15" s="20">
        <f t="shared" si="6"/>
        <v>1.4603822521114204E-3</v>
      </c>
      <c r="Y15" s="20">
        <f t="shared" si="6"/>
        <v>1.1679340454942839E-3</v>
      </c>
      <c r="Z15" s="20">
        <f t="shared" si="6"/>
        <v>9.3372764273733999E-4</v>
      </c>
      <c r="AA15" s="20">
        <f t="shared" si="6"/>
        <v>9.1823780128516119E-4</v>
      </c>
      <c r="AB15" s="20">
        <f t="shared" si="6"/>
        <v>6.2083284540332762E-4</v>
      </c>
    </row>
    <row r="16" spans="1:36" ht="26.75" customHeight="1" x14ac:dyDescent="0.2">
      <c r="A16" s="22" t="s">
        <v>22</v>
      </c>
      <c r="B16" s="20">
        <v>0.40849999999999997</v>
      </c>
      <c r="C16" s="20">
        <v>0.39729999999999999</v>
      </c>
      <c r="D16" s="20">
        <v>8.4599999999999995E-2</v>
      </c>
      <c r="E16" s="20">
        <v>3.5400000000000001E-2</v>
      </c>
      <c r="F16" s="20">
        <v>9.5999999999999992E-3</v>
      </c>
      <c r="G16" s="20">
        <v>1.8200000000000001E-2</v>
      </c>
      <c r="H16" s="20">
        <v>2.4299999999999999E-2</v>
      </c>
      <c r="I16" s="20">
        <v>0</v>
      </c>
      <c r="J16" s="20">
        <v>1.0800000000000001E-2</v>
      </c>
      <c r="K16" s="20">
        <v>0</v>
      </c>
      <c r="L16" s="20">
        <v>0</v>
      </c>
      <c r="M16" s="20">
        <v>2.3E-3</v>
      </c>
      <c r="N16" s="20">
        <v>1.9E-3</v>
      </c>
      <c r="O16" s="20">
        <v>3.2000000000000002E-3</v>
      </c>
      <c r="P16" s="20">
        <v>0</v>
      </c>
      <c r="Q16" s="20">
        <v>0</v>
      </c>
      <c r="R16" s="20">
        <v>1.1000000000000001E-3</v>
      </c>
      <c r="S16" s="20">
        <v>0</v>
      </c>
      <c r="T16" s="20">
        <v>1.4E-3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</row>
    <row r="17" spans="1:36" ht="26.75" customHeight="1" x14ac:dyDescent="0.2">
      <c r="A17" s="22" t="s">
        <v>23</v>
      </c>
      <c r="B17" s="23" t="str">
        <f t="shared" ref="B17:AB17" si="7">B6</f>
        <v>LIBERACIÓN NACIONAL</v>
      </c>
      <c r="C17" s="23" t="str">
        <f t="shared" si="7"/>
        <v>ACCIÓN CIUDADANA</v>
      </c>
      <c r="D17" s="23" t="str">
        <f t="shared" si="7"/>
        <v>MOVIMIENTO LIBERTARIO</v>
      </c>
      <c r="E17" s="23" t="str">
        <f t="shared" si="7"/>
        <v>UNIDAD SOCIAL CRISTIANA</v>
      </c>
      <c r="F17" s="23" t="str">
        <f t="shared" si="7"/>
        <v>RENOVACIÓN COSTARRICENSE</v>
      </c>
      <c r="G17" s="23" t="str">
        <f t="shared" si="7"/>
        <v>UNIÓN NACIONAL</v>
      </c>
      <c r="H17" s="23" t="str">
        <f t="shared" si="7"/>
        <v>UNIÓN PARA EL CAMBIO</v>
      </c>
      <c r="I17" s="23" t="str">
        <f t="shared" si="7"/>
        <v>RESTAURACIÓN NACIONAL</v>
      </c>
      <c r="J17" s="23" t="str">
        <f t="shared" si="7"/>
        <v>PATRIA PRIMERO</v>
      </c>
      <c r="K17" s="23" t="str">
        <f t="shared" si="7"/>
        <v>ACCESIBILIDAD SIN EXCLUSIÓN</v>
      </c>
      <c r="L17" s="23" t="str">
        <f t="shared" si="7"/>
        <v>FRENTE AMPLIO</v>
      </c>
      <c r="M17" s="23" t="str">
        <f t="shared" si="7"/>
        <v>ALIANZA DEMOCRÁTICA NACIONALISTA</v>
      </c>
      <c r="N17" s="23" t="str">
        <f t="shared" si="7"/>
        <v>FUERZA DEMOCRÁTICA</v>
      </c>
      <c r="O17" s="23" t="str">
        <f t="shared" si="7"/>
        <v>INTEGRACIÓN NACIONAL</v>
      </c>
      <c r="P17" s="23" t="str">
        <f t="shared" si="7"/>
        <v>ACCIÓN LABORISTA AGRÍCOLA</v>
      </c>
      <c r="Q17" s="23" t="str">
        <f t="shared" si="7"/>
        <v>UNIÓN AGRÍCOLA CARTAGINÉS</v>
      </c>
      <c r="R17" s="23" t="str">
        <f t="shared" si="7"/>
        <v>UNIÓN PATRIÓTICA</v>
      </c>
      <c r="S17" s="23" t="str">
        <f t="shared" si="7"/>
        <v>ACCIÓN DEMOCRÁTICA ALAJUELENSE</v>
      </c>
      <c r="T17" s="23" t="str">
        <f t="shared" si="7"/>
        <v>COALICIÓN IZQUIERDA UNIDA</v>
      </c>
      <c r="U17" s="23" t="str">
        <f t="shared" si="7"/>
        <v>GUANACASTE INDEPENDIENTE</v>
      </c>
      <c r="V17" s="23" t="str">
        <f t="shared" si="7"/>
        <v>AUTÉNTICO HEREDIANO</v>
      </c>
      <c r="W17" s="23" t="str">
        <f t="shared" si="7"/>
        <v>INTEGRACIÓN PROVINCIAL TRES</v>
      </c>
      <c r="X17" s="23" t="str">
        <f t="shared" si="7"/>
        <v>NUEVA LIGA FEMINISTA</v>
      </c>
      <c r="Y17" s="23" t="str">
        <f t="shared" si="7"/>
        <v>VERDE ECOLOGISTA</v>
      </c>
      <c r="Z17" s="23" t="str">
        <f t="shared" si="7"/>
        <v>MOVIMIENTO DE TRABAJADORES Y CAMPESINOS</v>
      </c>
      <c r="AA17" s="23" t="str">
        <f t="shared" si="7"/>
        <v>FUERZA AGRARIA DE LOS CARTAGINESES</v>
      </c>
      <c r="AB17" s="23" t="str">
        <f t="shared" si="7"/>
        <v>AUTÉNTICO TURRIALBEÑO CARTAGINÉS</v>
      </c>
      <c r="AC17" s="22" t="s">
        <v>24</v>
      </c>
    </row>
    <row r="18" spans="1:36" ht="26.75" customHeight="1" x14ac:dyDescent="0.2">
      <c r="A18" s="22" t="s">
        <v>13</v>
      </c>
      <c r="B18" s="21">
        <v>5</v>
      </c>
      <c r="C18" s="21">
        <v>4</v>
      </c>
      <c r="D18" s="21">
        <v>1</v>
      </c>
      <c r="E18" s="21">
        <v>1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19">
        <f t="shared" ref="AC18:AC24" si="8">SUM(B18:AB18)</f>
        <v>11</v>
      </c>
    </row>
    <row r="19" spans="1:36" ht="26.75" customHeight="1" x14ac:dyDescent="0.2">
      <c r="A19" s="22" t="s">
        <v>14</v>
      </c>
      <c r="B19" s="21">
        <v>3</v>
      </c>
      <c r="C19" s="21">
        <v>3</v>
      </c>
      <c r="D19" s="21">
        <v>1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19">
        <f t="shared" si="8"/>
        <v>7</v>
      </c>
    </row>
    <row r="20" spans="1:36" ht="26.75" customHeight="1" x14ac:dyDescent="0.2">
      <c r="A20" s="22" t="s">
        <v>15</v>
      </c>
      <c r="B20" s="21">
        <v>3</v>
      </c>
      <c r="C20" s="21">
        <v>1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19">
        <f t="shared" si="8"/>
        <v>4</v>
      </c>
    </row>
    <row r="21" spans="1:36" ht="26.75" customHeight="1" x14ac:dyDescent="0.2">
      <c r="A21" s="22" t="s">
        <v>16</v>
      </c>
      <c r="B21" s="21">
        <v>3</v>
      </c>
      <c r="C21" s="21">
        <v>2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19">
        <f t="shared" si="8"/>
        <v>5</v>
      </c>
    </row>
    <row r="22" spans="1:36" ht="26.75" customHeight="1" x14ac:dyDescent="0.2">
      <c r="A22" s="22" t="s">
        <v>17</v>
      </c>
      <c r="B22" s="21">
        <v>2</v>
      </c>
      <c r="C22" s="21">
        <v>1</v>
      </c>
      <c r="D22" s="21">
        <v>1</v>
      </c>
      <c r="E22" s="21">
        <v>1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19">
        <f t="shared" si="8"/>
        <v>5</v>
      </c>
    </row>
    <row r="23" spans="1:36" ht="26.75" customHeight="1" x14ac:dyDescent="0.2">
      <c r="A23" s="22" t="s">
        <v>18</v>
      </c>
      <c r="B23" s="21">
        <v>2</v>
      </c>
      <c r="C23" s="21">
        <v>1</v>
      </c>
      <c r="D23" s="21">
        <v>1</v>
      </c>
      <c r="E23" s="21">
        <v>1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19">
        <f t="shared" si="8"/>
        <v>5</v>
      </c>
    </row>
    <row r="24" spans="1:36" ht="26.75" customHeight="1" x14ac:dyDescent="0.2">
      <c r="A24" s="22" t="s">
        <v>19</v>
      </c>
      <c r="B24" s="21">
        <v>7</v>
      </c>
      <c r="C24" s="21">
        <v>5</v>
      </c>
      <c r="D24" s="21">
        <v>2</v>
      </c>
      <c r="E24" s="21">
        <v>2</v>
      </c>
      <c r="F24" s="21">
        <v>0</v>
      </c>
      <c r="G24" s="21">
        <v>1</v>
      </c>
      <c r="H24" s="21">
        <v>0</v>
      </c>
      <c r="I24" s="21">
        <v>1</v>
      </c>
      <c r="J24" s="21">
        <v>0</v>
      </c>
      <c r="K24" s="21">
        <v>1</v>
      </c>
      <c r="L24" s="21">
        <v>1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19">
        <f t="shared" si="8"/>
        <v>20</v>
      </c>
    </row>
    <row r="25" spans="1:36" ht="26.75" customHeight="1" x14ac:dyDescent="0.2">
      <c r="A25" s="18"/>
      <c r="B25" s="19">
        <f t="shared" ref="B25:AC25" si="9">SUM(B18:B24)</f>
        <v>25</v>
      </c>
      <c r="C25" s="19">
        <f t="shared" si="9"/>
        <v>17</v>
      </c>
      <c r="D25" s="19">
        <f t="shared" si="9"/>
        <v>6</v>
      </c>
      <c r="E25" s="19">
        <f t="shared" si="9"/>
        <v>5</v>
      </c>
      <c r="F25" s="19">
        <f t="shared" si="9"/>
        <v>0</v>
      </c>
      <c r="G25" s="19">
        <f t="shared" si="9"/>
        <v>1</v>
      </c>
      <c r="H25" s="19">
        <f t="shared" si="9"/>
        <v>0</v>
      </c>
      <c r="I25" s="19">
        <f t="shared" si="9"/>
        <v>1</v>
      </c>
      <c r="J25" s="19">
        <f t="shared" si="9"/>
        <v>0</v>
      </c>
      <c r="K25" s="19">
        <f t="shared" si="9"/>
        <v>1</v>
      </c>
      <c r="L25" s="19">
        <f t="shared" si="9"/>
        <v>1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0</v>
      </c>
      <c r="W25" s="19">
        <f t="shared" si="9"/>
        <v>0</v>
      </c>
      <c r="X25" s="19">
        <f t="shared" si="9"/>
        <v>0</v>
      </c>
      <c r="Y25" s="19">
        <f t="shared" si="9"/>
        <v>0</v>
      </c>
      <c r="Z25" s="19">
        <f t="shared" si="9"/>
        <v>0</v>
      </c>
      <c r="AA25" s="19">
        <f t="shared" si="9"/>
        <v>0</v>
      </c>
      <c r="AB25" s="19">
        <f t="shared" si="9"/>
        <v>0</v>
      </c>
      <c r="AC25" s="19">
        <f t="shared" si="9"/>
        <v>57</v>
      </c>
    </row>
    <row r="27" spans="1:36" ht="53.25" customHeight="1" x14ac:dyDescent="0.2">
      <c r="A27" s="33" t="s">
        <v>116</v>
      </c>
      <c r="B27" s="33">
        <v>0.52339999999999998</v>
      </c>
      <c r="C27" s="33">
        <v>0.45669999999999999</v>
      </c>
      <c r="D27" s="33">
        <v>5.5999999999999999E-3</v>
      </c>
      <c r="E27" s="33">
        <v>7.7000000000000002E-3</v>
      </c>
      <c r="F27" s="33">
        <v>4.7999999999999996E-3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1E-3</v>
      </c>
      <c r="N27" s="33">
        <v>0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</sheetData>
  <mergeCells count="2">
    <mergeCell ref="A5:AJ5"/>
    <mergeCell ref="A27:AJ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5:AA25"/>
  <sheetViews>
    <sheetView workbookViewId="0"/>
  </sheetViews>
  <sheetFormatPr baseColWidth="10" defaultColWidth="8.83203125" defaultRowHeight="16" x14ac:dyDescent="0.2"/>
  <cols>
    <col min="1" max="1" width="25.5" customWidth="1"/>
    <col min="2" max="19" width="26.1640625" customWidth="1"/>
    <col min="20" max="20" width="24.6640625" customWidth="1"/>
    <col min="21" max="23" width="18.6640625" customWidth="1"/>
    <col min="24" max="24" width="16.6640625" customWidth="1"/>
    <col min="25" max="25" width="19" customWidth="1"/>
    <col min="26" max="26" width="17.6640625" customWidth="1"/>
    <col min="27" max="27" width="23.1640625" customWidth="1"/>
  </cols>
  <sheetData>
    <row r="5" spans="1:27" ht="42.75" customHeight="1" x14ac:dyDescent="0.2">
      <c r="A5" s="32">
        <v>2010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spans="1:27" ht="26.75" customHeight="1" x14ac:dyDescent="0.2">
      <c r="A6" s="22" t="s">
        <v>0</v>
      </c>
      <c r="B6" s="23" t="s">
        <v>1</v>
      </c>
      <c r="C6" s="23" t="s">
        <v>98</v>
      </c>
      <c r="D6" s="23" t="s">
        <v>88</v>
      </c>
      <c r="E6" s="23" t="s">
        <v>105</v>
      </c>
      <c r="F6" s="23" t="s">
        <v>77</v>
      </c>
      <c r="G6" s="23" t="s">
        <v>90</v>
      </c>
      <c r="H6" s="23" t="s">
        <v>106</v>
      </c>
      <c r="I6" s="23" t="s">
        <v>103</v>
      </c>
      <c r="J6" s="23" t="s">
        <v>117</v>
      </c>
      <c r="K6" s="23" t="s">
        <v>89</v>
      </c>
      <c r="L6" s="23" t="s">
        <v>48</v>
      </c>
      <c r="M6" s="23" t="s">
        <v>118</v>
      </c>
      <c r="N6" s="23" t="s">
        <v>119</v>
      </c>
      <c r="O6" s="23" t="s">
        <v>120</v>
      </c>
      <c r="P6" s="23" t="s">
        <v>113</v>
      </c>
      <c r="Q6" s="23" t="s">
        <v>121</v>
      </c>
      <c r="R6" s="23" t="s">
        <v>122</v>
      </c>
      <c r="S6" s="23" t="s">
        <v>114</v>
      </c>
      <c r="T6" s="23" t="s">
        <v>5</v>
      </c>
      <c r="U6" s="23" t="s">
        <v>6</v>
      </c>
      <c r="V6" s="23" t="s">
        <v>7</v>
      </c>
      <c r="W6" s="22" t="s">
        <v>8</v>
      </c>
      <c r="X6" s="22" t="s">
        <v>9</v>
      </c>
      <c r="Y6" s="22" t="s">
        <v>10</v>
      </c>
      <c r="Z6" s="22" t="s">
        <v>11</v>
      </c>
      <c r="AA6" s="22" t="s">
        <v>12</v>
      </c>
    </row>
    <row r="7" spans="1:27" ht="26.75" customHeight="1" x14ac:dyDescent="0.2">
      <c r="A7" s="22" t="s">
        <v>13</v>
      </c>
      <c r="B7" s="21">
        <v>139515</v>
      </c>
      <c r="C7" s="21">
        <v>72880</v>
      </c>
      <c r="D7" s="21">
        <v>60198</v>
      </c>
      <c r="E7" s="21">
        <v>31075</v>
      </c>
      <c r="F7" s="21">
        <v>23746</v>
      </c>
      <c r="G7" s="21">
        <v>16156</v>
      </c>
      <c r="H7" s="21">
        <v>4835</v>
      </c>
      <c r="I7" s="21">
        <v>0</v>
      </c>
      <c r="J7" s="21">
        <v>6922</v>
      </c>
      <c r="K7" s="21">
        <v>1314</v>
      </c>
      <c r="L7" s="21">
        <v>0</v>
      </c>
      <c r="M7" s="21">
        <v>0</v>
      </c>
      <c r="N7" s="21">
        <v>7298</v>
      </c>
      <c r="O7" s="21">
        <v>0</v>
      </c>
      <c r="P7" s="21">
        <v>0</v>
      </c>
      <c r="Q7" s="21">
        <v>0</v>
      </c>
      <c r="R7" s="21">
        <v>1609</v>
      </c>
      <c r="S7" s="21">
        <v>0</v>
      </c>
      <c r="T7" s="21">
        <v>3952</v>
      </c>
      <c r="U7" s="21">
        <v>5412</v>
      </c>
      <c r="V7" s="21">
        <v>149303</v>
      </c>
      <c r="W7" s="19">
        <f t="shared" ref="W7:W14" si="0">SUM(B7:V7)</f>
        <v>524215</v>
      </c>
      <c r="X7" s="19">
        <f t="shared" ref="X7:X14" si="1">SUM(B7:S7)</f>
        <v>365548</v>
      </c>
      <c r="Y7" s="19">
        <f t="shared" ref="Y7:Y14" si="2">SUM(B7:U7)</f>
        <v>374912</v>
      </c>
      <c r="Z7" s="20">
        <f t="shared" ref="Z7:Z14" si="3">(Y7-X7)/Y7</f>
        <v>2.4976527825196312E-2</v>
      </c>
      <c r="AA7" s="20">
        <f t="shared" ref="AA7:AA14" si="4">V7/W7</f>
        <v>0.28481252921034306</v>
      </c>
    </row>
    <row r="8" spans="1:27" ht="26.75" customHeight="1" x14ac:dyDescent="0.2">
      <c r="A8" s="22" t="s">
        <v>14</v>
      </c>
      <c r="B8" s="21">
        <v>92286</v>
      </c>
      <c r="C8" s="21">
        <v>40437</v>
      </c>
      <c r="D8" s="21">
        <v>31197</v>
      </c>
      <c r="E8" s="21">
        <v>18775</v>
      </c>
      <c r="F8" s="21">
        <v>18121</v>
      </c>
      <c r="G8" s="21">
        <v>6664</v>
      </c>
      <c r="H8" s="21">
        <v>6685</v>
      </c>
      <c r="I8" s="21">
        <v>0</v>
      </c>
      <c r="J8" s="21">
        <v>2898</v>
      </c>
      <c r="K8" s="21">
        <v>851</v>
      </c>
      <c r="L8" s="21">
        <v>11862</v>
      </c>
      <c r="M8" s="21">
        <v>0</v>
      </c>
      <c r="N8" s="21">
        <v>0</v>
      </c>
      <c r="O8" s="21">
        <v>4590</v>
      </c>
      <c r="P8" s="21">
        <v>2901</v>
      </c>
      <c r="Q8" s="21">
        <v>0</v>
      </c>
      <c r="R8" s="21">
        <v>0</v>
      </c>
      <c r="S8" s="21">
        <v>0</v>
      </c>
      <c r="T8" s="21">
        <v>2455</v>
      </c>
      <c r="U8" s="21">
        <v>3960</v>
      </c>
      <c r="V8" s="21">
        <v>85100</v>
      </c>
      <c r="W8" s="19">
        <f t="shared" si="0"/>
        <v>328782</v>
      </c>
      <c r="X8" s="19">
        <f t="shared" si="1"/>
        <v>237267</v>
      </c>
      <c r="Y8" s="19">
        <f t="shared" si="2"/>
        <v>243682</v>
      </c>
      <c r="Z8" s="20">
        <f t="shared" si="3"/>
        <v>2.6325292799632308E-2</v>
      </c>
      <c r="AA8" s="20">
        <f t="shared" si="4"/>
        <v>0.25883412108935405</v>
      </c>
    </row>
    <row r="9" spans="1:27" ht="26.75" customHeight="1" x14ac:dyDescent="0.2">
      <c r="A9" s="22" t="s">
        <v>15</v>
      </c>
      <c r="B9" s="21">
        <v>54676</v>
      </c>
      <c r="C9" s="21">
        <v>14729</v>
      </c>
      <c r="D9" s="21">
        <v>17162</v>
      </c>
      <c r="E9" s="21">
        <v>12710</v>
      </c>
      <c r="F9" s="21">
        <v>13951</v>
      </c>
      <c r="G9" s="21">
        <v>6433</v>
      </c>
      <c r="H9" s="21">
        <v>2778</v>
      </c>
      <c r="I9" s="21">
        <v>0</v>
      </c>
      <c r="J9" s="21">
        <v>3971</v>
      </c>
      <c r="K9" s="21">
        <v>418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1941</v>
      </c>
      <c r="U9" s="21">
        <v>3162</v>
      </c>
      <c r="V9" s="21">
        <v>67306</v>
      </c>
      <c r="W9" s="19">
        <f t="shared" si="0"/>
        <v>199237</v>
      </c>
      <c r="X9" s="19">
        <f t="shared" si="1"/>
        <v>126828</v>
      </c>
      <c r="Y9" s="19">
        <f t="shared" si="2"/>
        <v>131931</v>
      </c>
      <c r="Z9" s="20">
        <f t="shared" si="3"/>
        <v>3.8679309639129543E-2</v>
      </c>
      <c r="AA9" s="20">
        <f t="shared" si="4"/>
        <v>0.33781877864051357</v>
      </c>
    </row>
    <row r="10" spans="1:27" ht="26.75" customHeight="1" x14ac:dyDescent="0.2">
      <c r="A10" s="22" t="s">
        <v>16</v>
      </c>
      <c r="B10" s="21">
        <v>73929</v>
      </c>
      <c r="C10" s="21">
        <v>38143</v>
      </c>
      <c r="D10" s="21">
        <v>27766</v>
      </c>
      <c r="E10" s="21">
        <v>17415</v>
      </c>
      <c r="F10" s="21">
        <v>14510</v>
      </c>
      <c r="G10" s="21">
        <v>5724</v>
      </c>
      <c r="H10" s="21">
        <v>9523</v>
      </c>
      <c r="I10" s="21">
        <v>0</v>
      </c>
      <c r="J10" s="21">
        <v>3785</v>
      </c>
      <c r="K10" s="21">
        <v>950</v>
      </c>
      <c r="L10" s="21">
        <v>0</v>
      </c>
      <c r="M10" s="21">
        <v>7953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1533</v>
      </c>
      <c r="U10" s="21">
        <v>2466</v>
      </c>
      <c r="V10" s="21">
        <v>74847</v>
      </c>
      <c r="W10" s="19">
        <f t="shared" si="0"/>
        <v>278544</v>
      </c>
      <c r="X10" s="19">
        <f t="shared" si="1"/>
        <v>199698</v>
      </c>
      <c r="Y10" s="19">
        <f t="shared" si="2"/>
        <v>203697</v>
      </c>
      <c r="Z10" s="20">
        <f t="shared" si="3"/>
        <v>1.9632100620038586E-2</v>
      </c>
      <c r="AA10" s="20">
        <f t="shared" si="4"/>
        <v>0.26870799586420818</v>
      </c>
    </row>
    <row r="11" spans="1:27" ht="26.75" customHeight="1" x14ac:dyDescent="0.2">
      <c r="A11" s="22" t="s">
        <v>17</v>
      </c>
      <c r="B11" s="21">
        <v>43889</v>
      </c>
      <c r="C11" s="21">
        <v>15790</v>
      </c>
      <c r="D11" s="21">
        <v>26411</v>
      </c>
      <c r="E11" s="21">
        <v>7335</v>
      </c>
      <c r="F11" s="21">
        <v>13395</v>
      </c>
      <c r="G11" s="21">
        <v>11274</v>
      </c>
      <c r="H11" s="21">
        <v>9616</v>
      </c>
      <c r="I11" s="21">
        <v>0</v>
      </c>
      <c r="J11" s="21">
        <v>1639</v>
      </c>
      <c r="K11" s="21">
        <v>1145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1127</v>
      </c>
      <c r="T11" s="21">
        <v>2281</v>
      </c>
      <c r="U11" s="21">
        <v>3798</v>
      </c>
      <c r="V11" s="21">
        <v>86428</v>
      </c>
      <c r="W11" s="19">
        <f t="shared" si="0"/>
        <v>224128</v>
      </c>
      <c r="X11" s="19">
        <f t="shared" si="1"/>
        <v>131621</v>
      </c>
      <c r="Y11" s="19">
        <f t="shared" si="2"/>
        <v>137700</v>
      </c>
      <c r="Z11" s="20">
        <f t="shared" si="3"/>
        <v>4.4146695715323168E-2</v>
      </c>
      <c r="AA11" s="20">
        <f t="shared" si="4"/>
        <v>0.38561893203883496</v>
      </c>
    </row>
    <row r="12" spans="1:27" ht="26.75" customHeight="1" x14ac:dyDescent="0.2">
      <c r="A12" s="22" t="s">
        <v>18</v>
      </c>
      <c r="B12" s="21">
        <v>58985</v>
      </c>
      <c r="C12" s="21">
        <v>21181</v>
      </c>
      <c r="D12" s="21">
        <v>27645</v>
      </c>
      <c r="E12" s="21">
        <v>7581</v>
      </c>
      <c r="F12" s="21">
        <v>20444</v>
      </c>
      <c r="G12" s="21">
        <v>6336</v>
      </c>
      <c r="H12" s="21">
        <v>3303</v>
      </c>
      <c r="I12" s="21">
        <v>0</v>
      </c>
      <c r="J12" s="21">
        <v>1624</v>
      </c>
      <c r="K12" s="21">
        <v>1428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2631</v>
      </c>
      <c r="U12" s="21">
        <v>3371</v>
      </c>
      <c r="V12" s="21">
        <v>104879</v>
      </c>
      <c r="W12" s="19">
        <f t="shared" si="0"/>
        <v>259408</v>
      </c>
      <c r="X12" s="19">
        <f t="shared" si="1"/>
        <v>148527</v>
      </c>
      <c r="Y12" s="19">
        <f t="shared" si="2"/>
        <v>154529</v>
      </c>
      <c r="Z12" s="20">
        <f t="shared" si="3"/>
        <v>3.8840605970400378E-2</v>
      </c>
      <c r="AA12" s="20">
        <f t="shared" si="4"/>
        <v>0.40430133226423243</v>
      </c>
    </row>
    <row r="13" spans="1:27" ht="26.75" customHeight="1" x14ac:dyDescent="0.2">
      <c r="A13" s="22" t="s">
        <v>19</v>
      </c>
      <c r="B13" s="21">
        <v>244763</v>
      </c>
      <c r="C13" s="21">
        <v>131476</v>
      </c>
      <c r="D13" s="21">
        <v>85139</v>
      </c>
      <c r="E13" s="21">
        <v>76967</v>
      </c>
      <c r="F13" s="21">
        <v>50880</v>
      </c>
      <c r="G13" s="21">
        <v>20563</v>
      </c>
      <c r="H13" s="21">
        <v>32247</v>
      </c>
      <c r="I13" s="21">
        <v>29530</v>
      </c>
      <c r="J13" s="21">
        <v>7510</v>
      </c>
      <c r="K13" s="21">
        <v>8537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2724</v>
      </c>
      <c r="R13" s="21">
        <v>0</v>
      </c>
      <c r="S13" s="21">
        <v>0</v>
      </c>
      <c r="T13" s="21">
        <v>5284</v>
      </c>
      <c r="U13" s="21">
        <v>8637</v>
      </c>
      <c r="V13" s="21">
        <v>303920</v>
      </c>
      <c r="W13" s="19">
        <f t="shared" si="0"/>
        <v>1008177</v>
      </c>
      <c r="X13" s="19">
        <f t="shared" si="1"/>
        <v>690336</v>
      </c>
      <c r="Y13" s="19">
        <f t="shared" si="2"/>
        <v>704257</v>
      </c>
      <c r="Z13" s="20">
        <f t="shared" si="3"/>
        <v>1.9766931674090566E-2</v>
      </c>
      <c r="AA13" s="20">
        <f t="shared" si="4"/>
        <v>0.30145500244500717</v>
      </c>
    </row>
    <row r="14" spans="1:27" ht="26.75" customHeight="1" x14ac:dyDescent="0.2">
      <c r="A14" s="22" t="s">
        <v>20</v>
      </c>
      <c r="B14" s="19">
        <f t="shared" ref="B14:V14" si="5">SUM(B7:B13)</f>
        <v>708043</v>
      </c>
      <c r="C14" s="19">
        <f t="shared" si="5"/>
        <v>334636</v>
      </c>
      <c r="D14" s="19">
        <f t="shared" si="5"/>
        <v>275518</v>
      </c>
      <c r="E14" s="19">
        <f t="shared" si="5"/>
        <v>171858</v>
      </c>
      <c r="F14" s="19">
        <f t="shared" si="5"/>
        <v>155047</v>
      </c>
      <c r="G14" s="19">
        <f t="shared" si="5"/>
        <v>73150</v>
      </c>
      <c r="H14" s="19">
        <f t="shared" si="5"/>
        <v>68987</v>
      </c>
      <c r="I14" s="19">
        <f t="shared" si="5"/>
        <v>29530</v>
      </c>
      <c r="J14" s="19">
        <f t="shared" si="5"/>
        <v>28349</v>
      </c>
      <c r="K14" s="19">
        <f t="shared" si="5"/>
        <v>14643</v>
      </c>
      <c r="L14" s="19">
        <f t="shared" si="5"/>
        <v>11862</v>
      </c>
      <c r="M14" s="19">
        <f t="shared" si="5"/>
        <v>7953</v>
      </c>
      <c r="N14" s="19">
        <f t="shared" si="5"/>
        <v>7298</v>
      </c>
      <c r="O14" s="19">
        <f t="shared" si="5"/>
        <v>4590</v>
      </c>
      <c r="P14" s="19">
        <f t="shared" si="5"/>
        <v>2901</v>
      </c>
      <c r="Q14" s="19">
        <f t="shared" si="5"/>
        <v>2724</v>
      </c>
      <c r="R14" s="19">
        <f t="shared" si="5"/>
        <v>1609</v>
      </c>
      <c r="S14" s="19">
        <f t="shared" si="5"/>
        <v>1127</v>
      </c>
      <c r="T14" s="19">
        <f t="shared" si="5"/>
        <v>20077</v>
      </c>
      <c r="U14" s="19">
        <f t="shared" si="5"/>
        <v>30806</v>
      </c>
      <c r="V14" s="19">
        <f t="shared" si="5"/>
        <v>871783</v>
      </c>
      <c r="W14" s="19">
        <f t="shared" si="0"/>
        <v>2822491</v>
      </c>
      <c r="X14" s="19">
        <f t="shared" si="1"/>
        <v>1899825</v>
      </c>
      <c r="Y14" s="19">
        <f t="shared" si="2"/>
        <v>1950708</v>
      </c>
      <c r="Z14" s="20">
        <f t="shared" si="3"/>
        <v>2.6084375519042316E-2</v>
      </c>
      <c r="AA14" s="20">
        <f t="shared" si="4"/>
        <v>0.30887007257064769</v>
      </c>
    </row>
    <row r="15" spans="1:27" ht="26.75" customHeight="1" x14ac:dyDescent="0.2">
      <c r="A15" s="22" t="s">
        <v>21</v>
      </c>
      <c r="B15" s="20">
        <f t="shared" ref="B15:S15" si="6">B14/$X$14</f>
        <v>0.37268853710210154</v>
      </c>
      <c r="C15" s="20">
        <f t="shared" si="6"/>
        <v>0.17614043398734094</v>
      </c>
      <c r="D15" s="20">
        <f t="shared" si="6"/>
        <v>0.14502283105022831</v>
      </c>
      <c r="E15" s="20">
        <f t="shared" si="6"/>
        <v>9.0459910781256161E-2</v>
      </c>
      <c r="F15" s="20">
        <f t="shared" si="6"/>
        <v>8.1611201031673963E-2</v>
      </c>
      <c r="G15" s="20">
        <f t="shared" si="6"/>
        <v>3.8503546379271773E-2</v>
      </c>
      <c r="H15" s="20">
        <f t="shared" si="6"/>
        <v>3.6312291921624357E-2</v>
      </c>
      <c r="I15" s="20">
        <f t="shared" si="6"/>
        <v>1.5543536904714907E-2</v>
      </c>
      <c r="J15" s="20">
        <f t="shared" si="6"/>
        <v>1.492190070138039E-2</v>
      </c>
      <c r="K15" s="20">
        <f t="shared" si="6"/>
        <v>7.7075520113694682E-3</v>
      </c>
      <c r="L15" s="20">
        <f t="shared" si="6"/>
        <v>6.2437329754056296E-3</v>
      </c>
      <c r="M15" s="20">
        <f t="shared" si="6"/>
        <v>4.1861750424381193E-3</v>
      </c>
      <c r="N15" s="20">
        <f t="shared" si="6"/>
        <v>3.8414064453304911E-3</v>
      </c>
      <c r="O15" s="20">
        <f t="shared" si="6"/>
        <v>2.4160120011053649E-3</v>
      </c>
      <c r="P15" s="20">
        <f t="shared" si="6"/>
        <v>1.5269827484110379E-3</v>
      </c>
      <c r="Q15" s="20">
        <f t="shared" si="6"/>
        <v>1.4338162725514192E-3</v>
      </c>
      <c r="R15" s="20">
        <f t="shared" si="6"/>
        <v>8.4692011106286109E-4</v>
      </c>
      <c r="S15" s="20">
        <f t="shared" si="6"/>
        <v>5.9321253273327804E-4</v>
      </c>
    </row>
    <row r="16" spans="1:27" ht="26.75" customHeight="1" x14ac:dyDescent="0.2">
      <c r="A16" s="22" t="s">
        <v>22</v>
      </c>
      <c r="B16" s="20">
        <v>0.46910000000000002</v>
      </c>
      <c r="C16" s="20">
        <v>0.2505</v>
      </c>
      <c r="D16" s="20">
        <v>0.2092</v>
      </c>
      <c r="E16" s="20">
        <v>1.89E-2</v>
      </c>
      <c r="F16" s="20">
        <v>3.8800000000000001E-2</v>
      </c>
      <c r="G16" s="20">
        <v>7.3000000000000001E-3</v>
      </c>
      <c r="H16" s="20">
        <v>3.5000000000000001E-3</v>
      </c>
      <c r="I16" s="20">
        <v>0</v>
      </c>
      <c r="J16" s="20">
        <v>1.6999999999999999E-3</v>
      </c>
      <c r="K16" s="20">
        <v>1.1000000000000001E-3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</row>
    <row r="17" spans="1:20" ht="26.75" customHeight="1" x14ac:dyDescent="0.2">
      <c r="A17" s="22" t="s">
        <v>23</v>
      </c>
      <c r="B17" s="23" t="str">
        <f t="shared" ref="B17:S17" si="7">B6</f>
        <v>LIBERACIÓN NACIONAL</v>
      </c>
      <c r="C17" s="23" t="str">
        <f t="shared" si="7"/>
        <v>ACCIÓN CIUDADANA</v>
      </c>
      <c r="D17" s="23" t="str">
        <f t="shared" si="7"/>
        <v>MOVIMIENTO LIBERTARIO</v>
      </c>
      <c r="E17" s="23" t="str">
        <f t="shared" si="7"/>
        <v>ACCESIBILIDAD SIN EXCLUSIÓN</v>
      </c>
      <c r="F17" s="23" t="str">
        <f t="shared" si="7"/>
        <v>UNIDAD SOCIAL CRISTIANA</v>
      </c>
      <c r="G17" s="23" t="str">
        <f t="shared" si="7"/>
        <v>RENOVACIÓN COSTARRICENSE</v>
      </c>
      <c r="H17" s="23" t="str">
        <f t="shared" si="7"/>
        <v>FRENTE AMPLIO</v>
      </c>
      <c r="I17" s="23" t="str">
        <f t="shared" si="7"/>
        <v>RESTAURACIÓN NACIONAL</v>
      </c>
      <c r="J17" s="23" t="str">
        <f t="shared" si="7"/>
        <v>ALIANZA PATRIÓTICA</v>
      </c>
      <c r="K17" s="23" t="str">
        <f t="shared" si="7"/>
        <v>INTEGRACIÓN NACIONAL</v>
      </c>
      <c r="L17" s="23" t="str">
        <f t="shared" si="7"/>
        <v>UNIÓN AGRÍCOLA CARTAGINÉS</v>
      </c>
      <c r="M17" s="23" t="str">
        <f t="shared" si="7"/>
        <v>RESTAURACIÓN HEREDIANA</v>
      </c>
      <c r="N17" s="23" t="str">
        <f t="shared" si="7"/>
        <v>RESTAURACIÓN ALAJUELENSE</v>
      </c>
      <c r="O17" s="23" t="str">
        <f t="shared" si="7"/>
        <v>TRANSPARENCIA CARTAGINÉS</v>
      </c>
      <c r="P17" s="23" t="str">
        <f t="shared" si="7"/>
        <v>VERDE ECOLOGISTA</v>
      </c>
      <c r="Q17" s="23" t="str">
        <f t="shared" si="7"/>
        <v>ALIANZA MAYOR</v>
      </c>
      <c r="R17" s="23" t="str">
        <f t="shared" si="7"/>
        <v>FUERZA FAMILIAR ALAJUELENSE</v>
      </c>
      <c r="S17" s="23" t="str">
        <f t="shared" si="7"/>
        <v>MOVIMIENTO DE TRABAJADORES Y CAMPESINOS</v>
      </c>
      <c r="T17" s="22" t="s">
        <v>24</v>
      </c>
    </row>
    <row r="18" spans="1:20" ht="26.75" customHeight="1" x14ac:dyDescent="0.2">
      <c r="A18" s="22" t="s">
        <v>13</v>
      </c>
      <c r="B18" s="21">
        <v>5</v>
      </c>
      <c r="C18" s="21">
        <v>2</v>
      </c>
      <c r="D18" s="21">
        <v>2</v>
      </c>
      <c r="E18" s="21">
        <v>1</v>
      </c>
      <c r="F18" s="21">
        <v>1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19">
        <f t="shared" ref="T18:T24" si="8">SUM(B18:S18)</f>
        <v>11</v>
      </c>
    </row>
    <row r="19" spans="1:20" ht="26.75" customHeight="1" x14ac:dyDescent="0.2">
      <c r="A19" s="22" t="s">
        <v>14</v>
      </c>
      <c r="B19" s="21">
        <v>3</v>
      </c>
      <c r="C19" s="21">
        <v>1</v>
      </c>
      <c r="D19" s="21">
        <v>1</v>
      </c>
      <c r="E19" s="21">
        <v>1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19">
        <f t="shared" si="8"/>
        <v>7</v>
      </c>
    </row>
    <row r="20" spans="1:20" ht="26.75" customHeight="1" x14ac:dyDescent="0.2">
      <c r="A20" s="22" t="s">
        <v>15</v>
      </c>
      <c r="B20" s="21">
        <v>3</v>
      </c>
      <c r="C20" s="21">
        <v>0</v>
      </c>
      <c r="D20" s="21">
        <v>1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19">
        <f t="shared" si="8"/>
        <v>4</v>
      </c>
    </row>
    <row r="21" spans="1:20" ht="26.75" customHeight="1" x14ac:dyDescent="0.2">
      <c r="A21" s="22" t="s">
        <v>16</v>
      </c>
      <c r="B21" s="21">
        <v>2</v>
      </c>
      <c r="C21" s="21">
        <v>2</v>
      </c>
      <c r="D21" s="21">
        <v>1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19">
        <f t="shared" si="8"/>
        <v>5</v>
      </c>
    </row>
    <row r="22" spans="1:20" ht="26.75" customHeight="1" x14ac:dyDescent="0.2">
      <c r="A22" s="22" t="s">
        <v>17</v>
      </c>
      <c r="B22" s="21">
        <v>2</v>
      </c>
      <c r="C22" s="21">
        <v>1</v>
      </c>
      <c r="D22" s="21">
        <v>1</v>
      </c>
      <c r="E22" s="21">
        <v>0</v>
      </c>
      <c r="F22" s="21">
        <v>1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19">
        <f t="shared" si="8"/>
        <v>5</v>
      </c>
    </row>
    <row r="23" spans="1:20" ht="26.75" customHeight="1" x14ac:dyDescent="0.2">
      <c r="A23" s="22" t="s">
        <v>18</v>
      </c>
      <c r="B23" s="21">
        <v>2</v>
      </c>
      <c r="C23" s="21">
        <v>1</v>
      </c>
      <c r="D23" s="21">
        <v>1</v>
      </c>
      <c r="E23" s="21">
        <v>0</v>
      </c>
      <c r="F23" s="21">
        <v>1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19">
        <f t="shared" si="8"/>
        <v>5</v>
      </c>
    </row>
    <row r="24" spans="1:20" ht="26.75" customHeight="1" x14ac:dyDescent="0.2">
      <c r="A24" s="22" t="s">
        <v>19</v>
      </c>
      <c r="B24" s="21">
        <v>7</v>
      </c>
      <c r="C24" s="21">
        <v>4</v>
      </c>
      <c r="D24" s="21">
        <v>2</v>
      </c>
      <c r="E24" s="21">
        <v>2</v>
      </c>
      <c r="F24" s="21">
        <v>2</v>
      </c>
      <c r="G24" s="21">
        <v>1</v>
      </c>
      <c r="H24" s="21">
        <v>1</v>
      </c>
      <c r="I24" s="21">
        <v>1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19">
        <f t="shared" si="8"/>
        <v>20</v>
      </c>
    </row>
    <row r="25" spans="1:20" ht="26.75" customHeight="1" x14ac:dyDescent="0.2">
      <c r="A25" s="18"/>
      <c r="B25" s="19">
        <f t="shared" ref="B25:T25" si="9">SUM(B18:B24)</f>
        <v>24</v>
      </c>
      <c r="C25" s="19">
        <f t="shared" si="9"/>
        <v>11</v>
      </c>
      <c r="D25" s="19">
        <f t="shared" si="9"/>
        <v>9</v>
      </c>
      <c r="E25" s="19">
        <f t="shared" si="9"/>
        <v>4</v>
      </c>
      <c r="F25" s="19">
        <f t="shared" si="9"/>
        <v>6</v>
      </c>
      <c r="G25" s="19">
        <f t="shared" si="9"/>
        <v>1</v>
      </c>
      <c r="H25" s="19">
        <f t="shared" si="9"/>
        <v>1</v>
      </c>
      <c r="I25" s="19">
        <f t="shared" si="9"/>
        <v>1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57</v>
      </c>
    </row>
  </sheetData>
  <mergeCells count="1">
    <mergeCell ref="A5:AA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AC27"/>
  <sheetViews>
    <sheetView workbookViewId="0"/>
  </sheetViews>
  <sheetFormatPr baseColWidth="10" defaultColWidth="8.83203125" defaultRowHeight="16" x14ac:dyDescent="0.2"/>
  <cols>
    <col min="1" max="1" width="25.5" customWidth="1"/>
    <col min="2" max="21" width="26.1640625" customWidth="1"/>
    <col min="22" max="22" width="24.6640625" customWidth="1"/>
    <col min="23" max="25" width="18.6640625" customWidth="1"/>
    <col min="26" max="26" width="16.6640625" customWidth="1"/>
    <col min="27" max="27" width="19" customWidth="1"/>
    <col min="28" max="28" width="17.6640625" customWidth="1"/>
    <col min="29" max="29" width="23.1640625" customWidth="1"/>
  </cols>
  <sheetData>
    <row r="5" spans="1:29" ht="42.75" customHeight="1" x14ac:dyDescent="0.2">
      <c r="A5" s="32">
        <v>2014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</row>
    <row r="6" spans="1:29" ht="26.75" customHeight="1" x14ac:dyDescent="0.2">
      <c r="A6" s="22" t="s">
        <v>0</v>
      </c>
      <c r="B6" s="23" t="s">
        <v>1</v>
      </c>
      <c r="C6" s="23" t="s">
        <v>98</v>
      </c>
      <c r="D6" s="23" t="s">
        <v>106</v>
      </c>
      <c r="E6" s="23" t="s">
        <v>77</v>
      </c>
      <c r="F6" s="23" t="s">
        <v>88</v>
      </c>
      <c r="G6" s="23" t="s">
        <v>103</v>
      </c>
      <c r="H6" s="23" t="s">
        <v>90</v>
      </c>
      <c r="I6" s="23" t="s">
        <v>105</v>
      </c>
      <c r="J6" s="23" t="s">
        <v>123</v>
      </c>
      <c r="K6" s="23" t="s">
        <v>124</v>
      </c>
      <c r="L6" s="23" t="s">
        <v>125</v>
      </c>
      <c r="M6" s="23" t="s">
        <v>126</v>
      </c>
      <c r="N6" s="23" t="s">
        <v>127</v>
      </c>
      <c r="O6" s="23" t="s">
        <v>89</v>
      </c>
      <c r="P6" s="23" t="s">
        <v>128</v>
      </c>
      <c r="Q6" s="23" t="s">
        <v>117</v>
      </c>
      <c r="R6" s="23" t="s">
        <v>129</v>
      </c>
      <c r="S6" s="23" t="s">
        <v>130</v>
      </c>
      <c r="T6" s="23" t="s">
        <v>131</v>
      </c>
      <c r="U6" s="23" t="s">
        <v>132</v>
      </c>
      <c r="V6" s="23" t="s">
        <v>5</v>
      </c>
      <c r="W6" s="23" t="s">
        <v>6</v>
      </c>
      <c r="X6" s="23" t="s">
        <v>7</v>
      </c>
      <c r="Y6" s="22" t="s">
        <v>8</v>
      </c>
      <c r="Z6" s="22" t="s">
        <v>9</v>
      </c>
      <c r="AA6" s="22" t="s">
        <v>10</v>
      </c>
      <c r="AB6" s="22" t="s">
        <v>11</v>
      </c>
      <c r="AC6" s="22" t="s">
        <v>12</v>
      </c>
    </row>
    <row r="7" spans="1:29" ht="26.75" customHeight="1" x14ac:dyDescent="0.2">
      <c r="A7" s="22" t="s">
        <v>13</v>
      </c>
      <c r="B7" s="21">
        <v>109409</v>
      </c>
      <c r="C7" s="21">
        <v>100572</v>
      </c>
      <c r="D7" s="21">
        <v>56012</v>
      </c>
      <c r="E7" s="21">
        <v>32934</v>
      </c>
      <c r="F7" s="21">
        <v>30661</v>
      </c>
      <c r="G7" s="21">
        <v>12884</v>
      </c>
      <c r="H7" s="21">
        <v>15805</v>
      </c>
      <c r="I7" s="21">
        <v>16172</v>
      </c>
      <c r="J7" s="21">
        <v>12084</v>
      </c>
      <c r="K7" s="21">
        <v>3004</v>
      </c>
      <c r="L7" s="21">
        <v>0</v>
      </c>
      <c r="M7" s="21">
        <v>2175</v>
      </c>
      <c r="N7" s="21">
        <v>3061</v>
      </c>
      <c r="O7" s="21">
        <v>2119</v>
      </c>
      <c r="P7" s="21">
        <v>0</v>
      </c>
      <c r="Q7" s="21">
        <v>2261</v>
      </c>
      <c r="R7" s="21">
        <v>0</v>
      </c>
      <c r="S7" s="21">
        <v>0</v>
      </c>
      <c r="T7" s="21">
        <v>0</v>
      </c>
      <c r="U7" s="21">
        <v>0</v>
      </c>
      <c r="V7" s="21">
        <v>2617</v>
      </c>
      <c r="W7" s="21">
        <v>5998</v>
      </c>
      <c r="X7" s="21">
        <v>169725</v>
      </c>
      <c r="Y7" s="19">
        <f t="shared" ref="Y7:Y14" si="0">SUM(B7:X7)</f>
        <v>577493</v>
      </c>
      <c r="Z7" s="19">
        <f t="shared" ref="Z7:Z14" si="1">SUM(B7:U7)</f>
        <v>399153</v>
      </c>
      <c r="AA7" s="19">
        <f t="shared" ref="AA7:AA14" si="2">SUM(B7:W7)</f>
        <v>407768</v>
      </c>
      <c r="AB7" s="20">
        <f t="shared" ref="AB7:AB14" si="3">(AA7-Z7)/AA7</f>
        <v>2.1127209589766729E-2</v>
      </c>
      <c r="AC7" s="20">
        <f t="shared" ref="AC7:AC14" si="4">X7/Y7</f>
        <v>0.29389966631630166</v>
      </c>
    </row>
    <row r="8" spans="1:29" ht="26.75" customHeight="1" x14ac:dyDescent="0.2">
      <c r="A8" s="22" t="s">
        <v>14</v>
      </c>
      <c r="B8" s="21">
        <v>62797</v>
      </c>
      <c r="C8" s="21">
        <v>60691</v>
      </c>
      <c r="D8" s="21">
        <v>28534</v>
      </c>
      <c r="E8" s="21">
        <v>27468</v>
      </c>
      <c r="F8" s="21">
        <v>18219</v>
      </c>
      <c r="G8" s="21">
        <v>6191</v>
      </c>
      <c r="H8" s="21">
        <v>3964</v>
      </c>
      <c r="I8" s="21">
        <v>11856</v>
      </c>
      <c r="J8" s="21">
        <v>5675</v>
      </c>
      <c r="K8" s="21">
        <v>2312</v>
      </c>
      <c r="L8" s="21">
        <v>23886</v>
      </c>
      <c r="M8" s="21">
        <v>1342</v>
      </c>
      <c r="N8" s="21">
        <v>1369</v>
      </c>
      <c r="O8" s="21">
        <v>1386</v>
      </c>
      <c r="P8" s="21">
        <v>0</v>
      </c>
      <c r="Q8" s="21">
        <v>0</v>
      </c>
      <c r="R8" s="21">
        <v>0</v>
      </c>
      <c r="S8" s="21">
        <v>0</v>
      </c>
      <c r="T8" s="21">
        <v>2148</v>
      </c>
      <c r="U8" s="21">
        <v>0</v>
      </c>
      <c r="V8" s="21">
        <v>1757</v>
      </c>
      <c r="W8" s="21">
        <v>4919</v>
      </c>
      <c r="X8" s="21">
        <v>95470</v>
      </c>
      <c r="Y8" s="19">
        <f t="shared" si="0"/>
        <v>359984</v>
      </c>
      <c r="Z8" s="19">
        <f t="shared" si="1"/>
        <v>257838</v>
      </c>
      <c r="AA8" s="19">
        <f t="shared" si="2"/>
        <v>264514</v>
      </c>
      <c r="AB8" s="20">
        <f t="shared" si="3"/>
        <v>2.5238739726441702E-2</v>
      </c>
      <c r="AC8" s="20">
        <f t="shared" si="4"/>
        <v>0.26520623138806171</v>
      </c>
    </row>
    <row r="9" spans="1:29" ht="26.75" customHeight="1" x14ac:dyDescent="0.2">
      <c r="A9" s="22" t="s">
        <v>15</v>
      </c>
      <c r="B9" s="21">
        <v>47024</v>
      </c>
      <c r="C9" s="21">
        <v>15660</v>
      </c>
      <c r="D9" s="21">
        <v>21769</v>
      </c>
      <c r="E9" s="21">
        <v>19085</v>
      </c>
      <c r="F9" s="21">
        <v>12278</v>
      </c>
      <c r="G9" s="21">
        <v>4696</v>
      </c>
      <c r="H9" s="21">
        <v>6265</v>
      </c>
      <c r="I9" s="21">
        <v>2199</v>
      </c>
      <c r="J9" s="21">
        <v>3325</v>
      </c>
      <c r="K9" s="21">
        <v>688</v>
      </c>
      <c r="L9" s="21">
        <v>0</v>
      </c>
      <c r="M9" s="21">
        <v>1981</v>
      </c>
      <c r="N9" s="21">
        <v>690</v>
      </c>
      <c r="O9" s="21">
        <v>330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1250</v>
      </c>
      <c r="W9" s="21">
        <v>2877</v>
      </c>
      <c r="X9" s="21">
        <v>81570</v>
      </c>
      <c r="Y9" s="19">
        <f t="shared" si="0"/>
        <v>221687</v>
      </c>
      <c r="Z9" s="19">
        <f t="shared" si="1"/>
        <v>135990</v>
      </c>
      <c r="AA9" s="19">
        <f t="shared" si="2"/>
        <v>140117</v>
      </c>
      <c r="AB9" s="20">
        <f t="shared" si="3"/>
        <v>2.9453956336490218E-2</v>
      </c>
      <c r="AC9" s="20">
        <f t="shared" si="4"/>
        <v>0.36795121049046631</v>
      </c>
    </row>
    <row r="10" spans="1:29" ht="26.75" customHeight="1" x14ac:dyDescent="0.2">
      <c r="A10" s="22" t="s">
        <v>16</v>
      </c>
      <c r="B10" s="21">
        <v>52559</v>
      </c>
      <c r="C10" s="21">
        <v>69360</v>
      </c>
      <c r="D10" s="21">
        <v>28053</v>
      </c>
      <c r="E10" s="21">
        <v>20149</v>
      </c>
      <c r="F10" s="21">
        <v>16682</v>
      </c>
      <c r="G10" s="21">
        <v>10263</v>
      </c>
      <c r="H10" s="21">
        <v>5191</v>
      </c>
      <c r="I10" s="21">
        <v>8625</v>
      </c>
      <c r="J10" s="21">
        <v>3628</v>
      </c>
      <c r="K10" s="21">
        <v>2189</v>
      </c>
      <c r="L10" s="21">
        <v>0</v>
      </c>
      <c r="M10" s="21">
        <v>1276</v>
      </c>
      <c r="N10" s="21">
        <v>1362</v>
      </c>
      <c r="O10" s="21">
        <v>641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277</v>
      </c>
      <c r="V10" s="21">
        <v>968</v>
      </c>
      <c r="W10" s="21">
        <v>2696</v>
      </c>
      <c r="X10" s="21">
        <v>82982</v>
      </c>
      <c r="Y10" s="19">
        <f t="shared" si="0"/>
        <v>306901</v>
      </c>
      <c r="Z10" s="19">
        <f t="shared" si="1"/>
        <v>220255</v>
      </c>
      <c r="AA10" s="19">
        <f t="shared" si="2"/>
        <v>223919</v>
      </c>
      <c r="AB10" s="20">
        <f t="shared" si="3"/>
        <v>1.6363059856465953E-2</v>
      </c>
      <c r="AC10" s="20">
        <f t="shared" si="4"/>
        <v>0.27038686742630358</v>
      </c>
    </row>
    <row r="11" spans="1:29" ht="26.75" customHeight="1" x14ac:dyDescent="0.2">
      <c r="A11" s="22" t="s">
        <v>17</v>
      </c>
      <c r="B11" s="21">
        <v>36718</v>
      </c>
      <c r="C11" s="21">
        <v>14781</v>
      </c>
      <c r="D11" s="21">
        <v>22509</v>
      </c>
      <c r="E11" s="21">
        <v>16173</v>
      </c>
      <c r="F11" s="21">
        <v>15007</v>
      </c>
      <c r="G11" s="21">
        <v>4557</v>
      </c>
      <c r="H11" s="21">
        <v>17854</v>
      </c>
      <c r="I11" s="21">
        <v>5126</v>
      </c>
      <c r="J11" s="21">
        <v>1270</v>
      </c>
      <c r="K11" s="21">
        <v>1223</v>
      </c>
      <c r="L11" s="21">
        <v>0</v>
      </c>
      <c r="M11" s="21">
        <v>4347</v>
      </c>
      <c r="N11" s="21">
        <v>1258</v>
      </c>
      <c r="O11" s="21">
        <v>535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1380</v>
      </c>
      <c r="W11" s="21">
        <v>3938</v>
      </c>
      <c r="X11" s="21">
        <v>102608</v>
      </c>
      <c r="Y11" s="19">
        <f t="shared" si="0"/>
        <v>249284</v>
      </c>
      <c r="Z11" s="19">
        <f t="shared" si="1"/>
        <v>141358</v>
      </c>
      <c r="AA11" s="19">
        <f t="shared" si="2"/>
        <v>146676</v>
      </c>
      <c r="AB11" s="20">
        <f t="shared" si="3"/>
        <v>3.6256783659221685E-2</v>
      </c>
      <c r="AC11" s="20">
        <f t="shared" si="4"/>
        <v>0.41161085348437926</v>
      </c>
    </row>
    <row r="12" spans="1:29" ht="26.75" customHeight="1" x14ac:dyDescent="0.2">
      <c r="A12" s="22" t="s">
        <v>18</v>
      </c>
      <c r="B12" s="21">
        <v>46168</v>
      </c>
      <c r="C12" s="21">
        <v>20778</v>
      </c>
      <c r="D12" s="21">
        <v>23975</v>
      </c>
      <c r="E12" s="21">
        <v>24811</v>
      </c>
      <c r="F12" s="21">
        <v>14556</v>
      </c>
      <c r="G12" s="21">
        <v>6800</v>
      </c>
      <c r="H12" s="21">
        <v>5360</v>
      </c>
      <c r="I12" s="21">
        <v>6326</v>
      </c>
      <c r="J12" s="21">
        <v>1462</v>
      </c>
      <c r="K12" s="21">
        <v>2140</v>
      </c>
      <c r="L12" s="21">
        <v>0</v>
      </c>
      <c r="M12" s="21">
        <v>1174</v>
      </c>
      <c r="N12" s="21">
        <v>1017</v>
      </c>
      <c r="O12" s="21">
        <v>1726</v>
      </c>
      <c r="P12" s="21">
        <v>0</v>
      </c>
      <c r="Q12" s="21">
        <v>0</v>
      </c>
      <c r="R12" s="21">
        <v>4417</v>
      </c>
      <c r="S12" s="21">
        <v>1376</v>
      </c>
      <c r="T12" s="21">
        <v>0</v>
      </c>
      <c r="U12" s="21">
        <v>0</v>
      </c>
      <c r="V12" s="21">
        <v>1571</v>
      </c>
      <c r="W12" s="21">
        <v>3854</v>
      </c>
      <c r="X12" s="21">
        <v>119743</v>
      </c>
      <c r="Y12" s="19">
        <f t="shared" si="0"/>
        <v>287254</v>
      </c>
      <c r="Z12" s="19">
        <f t="shared" si="1"/>
        <v>162086</v>
      </c>
      <c r="AA12" s="19">
        <f t="shared" si="2"/>
        <v>167511</v>
      </c>
      <c r="AB12" s="20">
        <f t="shared" si="3"/>
        <v>3.2385932864110414E-2</v>
      </c>
      <c r="AC12" s="20">
        <f t="shared" si="4"/>
        <v>0.4168540733984557</v>
      </c>
    </row>
    <row r="13" spans="1:29" ht="26.75" customHeight="1" x14ac:dyDescent="0.2">
      <c r="A13" s="22" t="s">
        <v>19</v>
      </c>
      <c r="B13" s="21">
        <v>171856</v>
      </c>
      <c r="C13" s="21">
        <v>199127</v>
      </c>
      <c r="D13" s="21">
        <v>88326</v>
      </c>
      <c r="E13" s="21">
        <v>64627</v>
      </c>
      <c r="F13" s="21">
        <v>55156</v>
      </c>
      <c r="G13" s="21">
        <v>38874</v>
      </c>
      <c r="H13" s="21">
        <v>28644</v>
      </c>
      <c r="I13" s="21">
        <v>30987</v>
      </c>
      <c r="J13" s="21">
        <v>14790</v>
      </c>
      <c r="K13" s="21">
        <v>13504</v>
      </c>
      <c r="L13" s="21">
        <v>0</v>
      </c>
      <c r="M13" s="21">
        <v>7600</v>
      </c>
      <c r="N13" s="21">
        <v>4241</v>
      </c>
      <c r="O13" s="21">
        <v>4570</v>
      </c>
      <c r="P13" s="21">
        <v>5639</v>
      </c>
      <c r="Q13" s="21">
        <v>2592</v>
      </c>
      <c r="R13" s="21">
        <v>0</v>
      </c>
      <c r="S13" s="21">
        <v>1088</v>
      </c>
      <c r="T13" s="21">
        <v>0</v>
      </c>
      <c r="U13" s="21">
        <v>0</v>
      </c>
      <c r="V13" s="21">
        <v>3510</v>
      </c>
      <c r="W13" s="21">
        <v>10519</v>
      </c>
      <c r="X13" s="21">
        <v>317411</v>
      </c>
      <c r="Y13" s="19">
        <f t="shared" si="0"/>
        <v>1063061</v>
      </c>
      <c r="Z13" s="19">
        <f t="shared" si="1"/>
        <v>731621</v>
      </c>
      <c r="AA13" s="19">
        <f t="shared" si="2"/>
        <v>745650</v>
      </c>
      <c r="AB13" s="20">
        <f t="shared" si="3"/>
        <v>1.8814457185006371E-2</v>
      </c>
      <c r="AC13" s="20">
        <f t="shared" si="4"/>
        <v>0.29858211335003354</v>
      </c>
    </row>
    <row r="14" spans="1:29" ht="26.75" customHeight="1" x14ac:dyDescent="0.2">
      <c r="A14" s="22" t="s">
        <v>20</v>
      </c>
      <c r="B14" s="19">
        <f t="shared" ref="B14:X14" si="5">SUM(B7:B13)</f>
        <v>526531</v>
      </c>
      <c r="C14" s="19">
        <f t="shared" si="5"/>
        <v>480969</v>
      </c>
      <c r="D14" s="19">
        <f t="shared" si="5"/>
        <v>269178</v>
      </c>
      <c r="E14" s="19">
        <f t="shared" si="5"/>
        <v>205247</v>
      </c>
      <c r="F14" s="19">
        <f t="shared" si="5"/>
        <v>162559</v>
      </c>
      <c r="G14" s="19">
        <f t="shared" si="5"/>
        <v>84265</v>
      </c>
      <c r="H14" s="19">
        <f t="shared" si="5"/>
        <v>83083</v>
      </c>
      <c r="I14" s="19">
        <f t="shared" si="5"/>
        <v>81291</v>
      </c>
      <c r="J14" s="19">
        <f t="shared" si="5"/>
        <v>42234</v>
      </c>
      <c r="K14" s="19">
        <f t="shared" si="5"/>
        <v>25060</v>
      </c>
      <c r="L14" s="19">
        <f t="shared" si="5"/>
        <v>23886</v>
      </c>
      <c r="M14" s="19">
        <f t="shared" si="5"/>
        <v>19895</v>
      </c>
      <c r="N14" s="19">
        <f t="shared" si="5"/>
        <v>12998</v>
      </c>
      <c r="O14" s="19">
        <f t="shared" si="5"/>
        <v>11307</v>
      </c>
      <c r="P14" s="19">
        <f t="shared" si="5"/>
        <v>5639</v>
      </c>
      <c r="Q14" s="19">
        <f t="shared" si="5"/>
        <v>4853</v>
      </c>
      <c r="R14" s="19">
        <f t="shared" si="5"/>
        <v>4417</v>
      </c>
      <c r="S14" s="19">
        <f t="shared" si="5"/>
        <v>2464</v>
      </c>
      <c r="T14" s="19">
        <f t="shared" si="5"/>
        <v>2148</v>
      </c>
      <c r="U14" s="19">
        <f t="shared" si="5"/>
        <v>277</v>
      </c>
      <c r="V14" s="19">
        <f t="shared" si="5"/>
        <v>13053</v>
      </c>
      <c r="W14" s="19">
        <f t="shared" si="5"/>
        <v>34801</v>
      </c>
      <c r="X14" s="19">
        <f t="shared" si="5"/>
        <v>969509</v>
      </c>
      <c r="Y14" s="19">
        <f t="shared" si="0"/>
        <v>3065664</v>
      </c>
      <c r="Z14" s="19">
        <f t="shared" si="1"/>
        <v>2048301</v>
      </c>
      <c r="AA14" s="19">
        <f t="shared" si="2"/>
        <v>2096155</v>
      </c>
      <c r="AB14" s="20">
        <f t="shared" si="3"/>
        <v>2.2829418626008097E-2</v>
      </c>
      <c r="AC14" s="20">
        <f t="shared" si="4"/>
        <v>0.31624763835828062</v>
      </c>
    </row>
    <row r="15" spans="1:29" ht="26.75" customHeight="1" x14ac:dyDescent="0.2">
      <c r="A15" s="22" t="s">
        <v>21</v>
      </c>
      <c r="B15" s="20">
        <f t="shared" ref="B15:U15" si="6">B14/$Z$14</f>
        <v>0.25705743442980306</v>
      </c>
      <c r="C15" s="20">
        <f t="shared" si="6"/>
        <v>0.23481363334783315</v>
      </c>
      <c r="D15" s="20">
        <f>D14/$Z$14</f>
        <v>0.13141525586327399</v>
      </c>
      <c r="E15" s="20">
        <f t="shared" si="6"/>
        <v>0.10020353453911315</v>
      </c>
      <c r="F15" s="20">
        <f t="shared" si="6"/>
        <v>7.936284755023798E-2</v>
      </c>
      <c r="G15" s="20">
        <f t="shared" si="6"/>
        <v>4.113897322707942E-2</v>
      </c>
      <c r="H15" s="20">
        <f t="shared" si="6"/>
        <v>4.0561909602153202E-2</v>
      </c>
      <c r="I15" s="20">
        <f t="shared" si="6"/>
        <v>3.9687038184329351E-2</v>
      </c>
      <c r="J15" s="20">
        <f t="shared" si="6"/>
        <v>2.0619039877439887E-2</v>
      </c>
      <c r="K15" s="20">
        <f t="shared" si="6"/>
        <v>1.2234529983630336E-2</v>
      </c>
      <c r="L15" s="20">
        <f t="shared" si="6"/>
        <v>1.1661372034676544E-2</v>
      </c>
      <c r="M15" s="20">
        <f t="shared" si="6"/>
        <v>9.7129279339315845E-3</v>
      </c>
      <c r="N15" s="20">
        <f t="shared" si="6"/>
        <v>6.3457470362021989E-3</v>
      </c>
      <c r="O15" s="20">
        <f t="shared" si="6"/>
        <v>5.5201847775302555E-3</v>
      </c>
      <c r="P15" s="20">
        <f t="shared" si="6"/>
        <v>2.7530133510651022E-3</v>
      </c>
      <c r="Q15" s="20">
        <f t="shared" si="6"/>
        <v>2.3692806867740631E-3</v>
      </c>
      <c r="R15" s="20">
        <f t="shared" si="6"/>
        <v>2.1564213462767433E-3</v>
      </c>
      <c r="S15" s="20">
        <f t="shared" si="6"/>
        <v>1.2029481995077872E-3</v>
      </c>
      <c r="T15" s="20">
        <f t="shared" si="6"/>
        <v>1.0486739985968859E-3</v>
      </c>
      <c r="U15" s="20">
        <f t="shared" si="6"/>
        <v>1.3523403054531535E-4</v>
      </c>
    </row>
    <row r="16" spans="1:29" ht="26.75" customHeight="1" x14ac:dyDescent="0.2">
      <c r="A16" s="22" t="s">
        <v>22</v>
      </c>
      <c r="B16" s="20">
        <v>0.29709999999999998</v>
      </c>
      <c r="C16" s="20">
        <v>0.30630000000000002</v>
      </c>
      <c r="D16" s="20">
        <v>0.17249999999999999</v>
      </c>
      <c r="E16" s="20">
        <v>6.0199999999999997E-2</v>
      </c>
      <c r="F16" s="20">
        <v>0.1134</v>
      </c>
      <c r="G16" s="20">
        <v>1.35E-2</v>
      </c>
      <c r="H16" s="20">
        <v>8.0999999999999996E-3</v>
      </c>
      <c r="I16" s="20">
        <v>5.0000000000000001E-3</v>
      </c>
      <c r="J16" s="20">
        <v>1.4999999999999999E-2</v>
      </c>
      <c r="K16" s="20">
        <v>2.8999999999999998E-3</v>
      </c>
      <c r="L16" s="20">
        <v>0</v>
      </c>
      <c r="M16" s="20">
        <v>2.0999999999999999E-3</v>
      </c>
      <c r="N16" s="20">
        <v>2.3999999999999998E-3</v>
      </c>
      <c r="O16" s="20">
        <v>1.5E-3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</row>
    <row r="17" spans="1:29" ht="26.75" customHeight="1" x14ac:dyDescent="0.2">
      <c r="A17" s="22" t="s">
        <v>23</v>
      </c>
      <c r="B17" s="23" t="str">
        <f t="shared" ref="B17:S17" si="7">B6</f>
        <v>LIBERACIÓN NACIONAL</v>
      </c>
      <c r="C17" s="23" t="str">
        <f t="shared" si="7"/>
        <v>ACCIÓN CIUDADANA</v>
      </c>
      <c r="D17" s="23" t="str">
        <f t="shared" si="7"/>
        <v>FRENTE AMPLIO</v>
      </c>
      <c r="E17" s="23" t="str">
        <f t="shared" si="7"/>
        <v>UNIDAD SOCIAL CRISTIANA</v>
      </c>
      <c r="F17" s="23" t="str">
        <f t="shared" si="7"/>
        <v>MOVIMIENTO LIBERTARIO</v>
      </c>
      <c r="G17" s="23" t="str">
        <f t="shared" si="7"/>
        <v>RESTAURACIÓN NACIONAL</v>
      </c>
      <c r="H17" s="23" t="str">
        <f t="shared" si="7"/>
        <v>RENOVACIÓN COSTARRICENSE</v>
      </c>
      <c r="I17" s="23" t="str">
        <f t="shared" si="7"/>
        <v>ACCESIBILIDAD SIN EXCLUSIÓN</v>
      </c>
      <c r="J17" s="23" t="str">
        <f t="shared" si="7"/>
        <v>PATRIA NUEVA</v>
      </c>
      <c r="K17" s="23" t="str">
        <f t="shared" si="7"/>
        <v>NUEVA GENERACIÓN</v>
      </c>
      <c r="L17" s="23" t="str">
        <f t="shared" si="7"/>
        <v>ALIANZA DEMÓCRATA CRISTIANA</v>
      </c>
      <c r="M17" s="23" t="str">
        <f t="shared" si="7"/>
        <v>AVANCE NACIONAL</v>
      </c>
      <c r="N17" s="23" t="str">
        <f t="shared" si="7"/>
        <v>DE LOS TRABAJADORES</v>
      </c>
      <c r="O17" s="23" t="str">
        <f t="shared" si="7"/>
        <v>INTEGRACIÓN NACIONAL</v>
      </c>
      <c r="P17" s="23" t="str">
        <f t="shared" si="7"/>
        <v>DE LOS TRANSPORTISTAS</v>
      </c>
      <c r="Q17" s="23" t="str">
        <f t="shared" si="7"/>
        <v>ALIANZA PATRIÓTICA</v>
      </c>
      <c r="R17" s="23" t="str">
        <f t="shared" si="7"/>
        <v>VIVA PUNTARENAS</v>
      </c>
      <c r="S17" s="23" t="str">
        <f t="shared" si="7"/>
        <v>PATRIA, IGUALDAD Y DEMOCRACIA</v>
      </c>
      <c r="T17" s="23" t="str">
        <f>T6</f>
        <v>VERDE</v>
      </c>
      <c r="U17" s="23" t="str">
        <f>U6</f>
        <v>NUEVO PARTIDO SOCIALISTA</v>
      </c>
      <c r="V17" s="22" t="s">
        <v>24</v>
      </c>
    </row>
    <row r="18" spans="1:29" ht="26.75" customHeight="1" x14ac:dyDescent="0.2">
      <c r="A18" s="22" t="s">
        <v>13</v>
      </c>
      <c r="B18" s="21">
        <v>4</v>
      </c>
      <c r="C18" s="21">
        <v>3</v>
      </c>
      <c r="D18" s="21">
        <v>2</v>
      </c>
      <c r="E18" s="21">
        <v>1</v>
      </c>
      <c r="F18" s="21">
        <v>1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19">
        <f t="shared" ref="V18:V24" si="8">SUM(B18:U18)</f>
        <v>11</v>
      </c>
    </row>
    <row r="19" spans="1:29" ht="26.75" customHeight="1" x14ac:dyDescent="0.2">
      <c r="A19" s="22" t="s">
        <v>14</v>
      </c>
      <c r="B19" s="21">
        <v>2</v>
      </c>
      <c r="C19" s="21">
        <v>2</v>
      </c>
      <c r="D19" s="21">
        <v>1</v>
      </c>
      <c r="E19" s="21">
        <v>1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1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19">
        <f t="shared" si="8"/>
        <v>7</v>
      </c>
    </row>
    <row r="20" spans="1:29" ht="26.75" customHeight="1" x14ac:dyDescent="0.2">
      <c r="A20" s="22" t="s">
        <v>15</v>
      </c>
      <c r="B20" s="21">
        <v>2</v>
      </c>
      <c r="C20" s="21">
        <v>0</v>
      </c>
      <c r="D20" s="21">
        <v>1</v>
      </c>
      <c r="E20" s="21">
        <v>1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19">
        <f t="shared" si="8"/>
        <v>4</v>
      </c>
    </row>
    <row r="21" spans="1:29" ht="26.75" customHeight="1" x14ac:dyDescent="0.2">
      <c r="A21" s="22" t="s">
        <v>16</v>
      </c>
      <c r="B21" s="21">
        <v>2</v>
      </c>
      <c r="C21" s="21">
        <v>2</v>
      </c>
      <c r="D21" s="21">
        <v>1</v>
      </c>
      <c r="E21" s="21">
        <v>1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19">
        <f t="shared" si="8"/>
        <v>6</v>
      </c>
    </row>
    <row r="22" spans="1:29" ht="26.75" customHeight="1" x14ac:dyDescent="0.2">
      <c r="A22" s="22" t="s">
        <v>17</v>
      </c>
      <c r="B22" s="21">
        <v>1</v>
      </c>
      <c r="C22" s="21">
        <v>0</v>
      </c>
      <c r="D22" s="21">
        <v>1</v>
      </c>
      <c r="E22" s="21">
        <v>1</v>
      </c>
      <c r="F22" s="21">
        <v>1</v>
      </c>
      <c r="G22" s="21">
        <v>0</v>
      </c>
      <c r="H22" s="21">
        <v>1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19">
        <f t="shared" si="8"/>
        <v>5</v>
      </c>
    </row>
    <row r="23" spans="1:29" ht="26.75" customHeight="1" x14ac:dyDescent="0.2">
      <c r="A23" s="22" t="s">
        <v>18</v>
      </c>
      <c r="B23" s="21">
        <v>2</v>
      </c>
      <c r="C23" s="21">
        <v>1</v>
      </c>
      <c r="D23" s="21">
        <v>1</v>
      </c>
      <c r="E23" s="21">
        <v>1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19">
        <f t="shared" si="8"/>
        <v>5</v>
      </c>
    </row>
    <row r="24" spans="1:29" ht="26.75" customHeight="1" x14ac:dyDescent="0.2">
      <c r="A24" s="22" t="s">
        <v>19</v>
      </c>
      <c r="B24" s="21">
        <v>5</v>
      </c>
      <c r="C24" s="21">
        <v>5</v>
      </c>
      <c r="D24" s="21">
        <v>2</v>
      </c>
      <c r="E24" s="21">
        <v>2</v>
      </c>
      <c r="F24" s="21">
        <v>2</v>
      </c>
      <c r="G24" s="21">
        <v>1</v>
      </c>
      <c r="H24" s="21">
        <v>1</v>
      </c>
      <c r="I24" s="21">
        <v>1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19">
        <f t="shared" si="8"/>
        <v>19</v>
      </c>
    </row>
    <row r="25" spans="1:29" ht="26.75" customHeight="1" x14ac:dyDescent="0.2">
      <c r="A25" s="18"/>
      <c r="B25" s="19">
        <f t="shared" ref="B25:V25" si="9">SUM(B18:B24)</f>
        <v>18</v>
      </c>
      <c r="C25" s="19">
        <f t="shared" si="9"/>
        <v>13</v>
      </c>
      <c r="D25" s="19">
        <f t="shared" si="9"/>
        <v>9</v>
      </c>
      <c r="E25" s="19">
        <f t="shared" si="9"/>
        <v>8</v>
      </c>
      <c r="F25" s="19">
        <f t="shared" si="9"/>
        <v>4</v>
      </c>
      <c r="G25" s="19">
        <f t="shared" si="9"/>
        <v>1</v>
      </c>
      <c r="H25" s="19">
        <f t="shared" si="9"/>
        <v>2</v>
      </c>
      <c r="I25" s="19">
        <f t="shared" si="9"/>
        <v>1</v>
      </c>
      <c r="J25" s="19">
        <f t="shared" si="9"/>
        <v>0</v>
      </c>
      <c r="K25" s="19">
        <f t="shared" si="9"/>
        <v>0</v>
      </c>
      <c r="L25" s="19">
        <f t="shared" si="9"/>
        <v>1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57</v>
      </c>
    </row>
    <row r="27" spans="1:29" ht="53.25" customHeight="1" x14ac:dyDescent="0.2">
      <c r="A27" s="33" t="s">
        <v>133</v>
      </c>
      <c r="B27" s="33">
        <v>0.52339999999999998</v>
      </c>
      <c r="C27" s="33">
        <v>0.45669999999999999</v>
      </c>
      <c r="D27" s="33">
        <v>5.5999999999999999E-3</v>
      </c>
      <c r="E27" s="33">
        <v>7.7000000000000002E-3</v>
      </c>
      <c r="F27" s="33">
        <v>4.7999999999999996E-3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1E-3</v>
      </c>
      <c r="N27" s="33">
        <v>0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</row>
  </sheetData>
  <mergeCells count="2">
    <mergeCell ref="A5:AC5"/>
    <mergeCell ref="A27:AC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5:AJ25"/>
  <sheetViews>
    <sheetView topLeftCell="X1" workbookViewId="0"/>
  </sheetViews>
  <sheetFormatPr baseColWidth="10" defaultColWidth="8.83203125" defaultRowHeight="16" x14ac:dyDescent="0.2"/>
  <cols>
    <col min="1" max="1" width="25.5" customWidth="1"/>
    <col min="2" max="28" width="26.1640625" customWidth="1"/>
    <col min="29" max="29" width="24.6640625" customWidth="1"/>
    <col min="30" max="32" width="18.6640625" customWidth="1"/>
    <col min="33" max="33" width="16.6640625" customWidth="1"/>
    <col min="34" max="34" width="19" customWidth="1"/>
    <col min="35" max="35" width="17.6640625" customWidth="1"/>
    <col min="36" max="36" width="23.1640625" customWidth="1"/>
  </cols>
  <sheetData>
    <row r="5" spans="1:36" ht="42.75" customHeight="1" x14ac:dyDescent="0.2">
      <c r="A5" s="32">
        <v>2018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</row>
    <row r="6" spans="1:36" ht="26.75" customHeight="1" x14ac:dyDescent="0.2">
      <c r="A6" s="22" t="s">
        <v>0</v>
      </c>
      <c r="B6" s="23" t="s">
        <v>1</v>
      </c>
      <c r="C6" s="23" t="s">
        <v>103</v>
      </c>
      <c r="D6" s="23" t="s">
        <v>98</v>
      </c>
      <c r="E6" s="23" t="s">
        <v>77</v>
      </c>
      <c r="F6" s="23" t="s">
        <v>89</v>
      </c>
      <c r="G6" s="23" t="s">
        <v>134</v>
      </c>
      <c r="H6" s="23" t="s">
        <v>106</v>
      </c>
      <c r="I6" s="23" t="s">
        <v>125</v>
      </c>
      <c r="J6" s="23" t="s">
        <v>88</v>
      </c>
      <c r="K6" s="23" t="s">
        <v>105</v>
      </c>
      <c r="L6" s="23" t="s">
        <v>124</v>
      </c>
      <c r="M6" s="23" t="s">
        <v>90</v>
      </c>
      <c r="N6" s="23" t="s">
        <v>59</v>
      </c>
      <c r="O6" s="23" t="s">
        <v>135</v>
      </c>
      <c r="P6" s="23" t="s">
        <v>127</v>
      </c>
      <c r="Q6" s="23" t="s">
        <v>136</v>
      </c>
      <c r="R6" s="23" t="s">
        <v>137</v>
      </c>
      <c r="S6" s="23" t="s">
        <v>138</v>
      </c>
      <c r="T6" s="23" t="s">
        <v>139</v>
      </c>
      <c r="U6" s="23" t="s">
        <v>140</v>
      </c>
      <c r="V6" s="23" t="s">
        <v>141</v>
      </c>
      <c r="W6" s="23" t="s">
        <v>128</v>
      </c>
      <c r="X6" s="23" t="s">
        <v>142</v>
      </c>
      <c r="Y6" s="23" t="s">
        <v>130</v>
      </c>
      <c r="Z6" s="23" t="s">
        <v>107</v>
      </c>
      <c r="AA6" s="23" t="s">
        <v>132</v>
      </c>
      <c r="AB6" s="23" t="s">
        <v>143</v>
      </c>
      <c r="AC6" s="23" t="s">
        <v>5</v>
      </c>
      <c r="AD6" s="23" t="s">
        <v>6</v>
      </c>
      <c r="AE6" s="23" t="s">
        <v>7</v>
      </c>
      <c r="AF6" s="22" t="s">
        <v>8</v>
      </c>
      <c r="AG6" s="22" t="s">
        <v>9</v>
      </c>
      <c r="AH6" s="22" t="s">
        <v>10</v>
      </c>
      <c r="AI6" s="22" t="s">
        <v>11</v>
      </c>
      <c r="AJ6" s="22" t="s">
        <v>12</v>
      </c>
    </row>
    <row r="7" spans="1:36" ht="26.75" customHeight="1" x14ac:dyDescent="0.2">
      <c r="A7" s="22" t="s">
        <v>13</v>
      </c>
      <c r="B7" s="21">
        <v>91520</v>
      </c>
      <c r="C7" s="21">
        <v>86719</v>
      </c>
      <c r="D7" s="21">
        <v>73436</v>
      </c>
      <c r="E7" s="21">
        <v>60235</v>
      </c>
      <c r="F7" s="21">
        <v>30612</v>
      </c>
      <c r="G7" s="21">
        <v>20237</v>
      </c>
      <c r="H7" s="21">
        <v>11982</v>
      </c>
      <c r="I7" s="21">
        <v>7154</v>
      </c>
      <c r="J7" s="21">
        <v>6557</v>
      </c>
      <c r="K7" s="21">
        <v>8737</v>
      </c>
      <c r="L7" s="21">
        <v>9846</v>
      </c>
      <c r="M7" s="21">
        <v>7037</v>
      </c>
      <c r="N7" s="21">
        <v>0</v>
      </c>
      <c r="O7" s="21">
        <v>3693</v>
      </c>
      <c r="P7" s="21">
        <v>2816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2429</v>
      </c>
      <c r="AD7" s="21">
        <v>5175</v>
      </c>
      <c r="AE7" s="21">
        <v>203543</v>
      </c>
      <c r="AF7" s="19">
        <f t="shared" ref="AF7:AF14" si="0">SUM(B7:AE7)</f>
        <v>631728</v>
      </c>
      <c r="AG7" s="19">
        <f t="shared" ref="AG7:AG14" si="1">SUM(B7:AB7)</f>
        <v>420581</v>
      </c>
      <c r="AH7" s="19">
        <f t="shared" ref="AH7:AH14" si="2">SUM(B7:AD7)</f>
        <v>428185</v>
      </c>
      <c r="AI7" s="20">
        <f t="shared" ref="AI7:AI14" si="3">(AH7-AG7)/AH7</f>
        <v>1.7758679075633197E-2</v>
      </c>
      <c r="AJ7" s="20">
        <f t="shared" ref="AJ7:AJ14" si="4">AE7/AF7</f>
        <v>0.32220037737760554</v>
      </c>
    </row>
    <row r="8" spans="1:36" ht="26.75" customHeight="1" x14ac:dyDescent="0.2">
      <c r="A8" s="22" t="s">
        <v>14</v>
      </c>
      <c r="B8" s="21">
        <v>54197</v>
      </c>
      <c r="C8" s="21">
        <v>28709</v>
      </c>
      <c r="D8" s="21">
        <v>54242</v>
      </c>
      <c r="E8" s="21">
        <v>36309</v>
      </c>
      <c r="F8" s="21">
        <v>22346</v>
      </c>
      <c r="G8" s="21">
        <v>12877</v>
      </c>
      <c r="H8" s="21">
        <v>9700</v>
      </c>
      <c r="I8" s="21">
        <v>15422</v>
      </c>
      <c r="J8" s="21">
        <v>5003</v>
      </c>
      <c r="K8" s="21">
        <v>7070</v>
      </c>
      <c r="L8" s="21">
        <v>8710</v>
      </c>
      <c r="M8" s="21">
        <v>6910</v>
      </c>
      <c r="N8" s="21">
        <v>0</v>
      </c>
      <c r="O8" s="21">
        <v>0</v>
      </c>
      <c r="P8" s="21">
        <v>1501</v>
      </c>
      <c r="Q8" s="21">
        <v>9898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1588</v>
      </c>
      <c r="AD8" s="21">
        <v>4039</v>
      </c>
      <c r="AE8" s="21">
        <v>109397</v>
      </c>
      <c r="AF8" s="19">
        <f t="shared" si="0"/>
        <v>387918</v>
      </c>
      <c r="AG8" s="19">
        <f t="shared" si="1"/>
        <v>272894</v>
      </c>
      <c r="AH8" s="19">
        <f t="shared" si="2"/>
        <v>278521</v>
      </c>
      <c r="AI8" s="20">
        <f t="shared" si="3"/>
        <v>2.0203144466664991E-2</v>
      </c>
      <c r="AJ8" s="20">
        <f t="shared" si="4"/>
        <v>0.28201063111276092</v>
      </c>
    </row>
    <row r="9" spans="1:36" ht="26.75" customHeight="1" x14ac:dyDescent="0.2">
      <c r="A9" s="22" t="s">
        <v>15</v>
      </c>
      <c r="B9" s="21">
        <v>32486</v>
      </c>
      <c r="C9" s="21">
        <v>21864</v>
      </c>
      <c r="D9" s="21">
        <v>13822</v>
      </c>
      <c r="E9" s="21">
        <v>20654</v>
      </c>
      <c r="F9" s="21">
        <v>17095</v>
      </c>
      <c r="G9" s="21">
        <v>4879</v>
      </c>
      <c r="H9" s="21">
        <v>3163</v>
      </c>
      <c r="I9" s="21">
        <v>2551</v>
      </c>
      <c r="J9" s="21">
        <v>4467</v>
      </c>
      <c r="K9" s="21">
        <v>4218</v>
      </c>
      <c r="L9" s="21">
        <v>1960</v>
      </c>
      <c r="M9" s="21">
        <v>3350</v>
      </c>
      <c r="N9" s="21">
        <v>0</v>
      </c>
      <c r="O9" s="21">
        <v>0</v>
      </c>
      <c r="P9" s="21">
        <v>560</v>
      </c>
      <c r="Q9" s="21">
        <v>0</v>
      </c>
      <c r="R9" s="21">
        <v>0</v>
      </c>
      <c r="S9" s="21">
        <v>0</v>
      </c>
      <c r="T9" s="21">
        <v>0</v>
      </c>
      <c r="U9" s="21">
        <v>7994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679</v>
      </c>
      <c r="AC9" s="21">
        <v>1139</v>
      </c>
      <c r="AD9" s="21">
        <v>3822</v>
      </c>
      <c r="AE9" s="21">
        <v>95802</v>
      </c>
      <c r="AF9" s="19">
        <f t="shared" si="0"/>
        <v>240505</v>
      </c>
      <c r="AG9" s="19">
        <f t="shared" si="1"/>
        <v>139742</v>
      </c>
      <c r="AH9" s="19">
        <f t="shared" si="2"/>
        <v>144703</v>
      </c>
      <c r="AI9" s="20">
        <f t="shared" si="3"/>
        <v>3.4284016226339468E-2</v>
      </c>
      <c r="AJ9" s="20">
        <f t="shared" si="4"/>
        <v>0.39833683291407662</v>
      </c>
    </row>
    <row r="10" spans="1:36" ht="26.75" customHeight="1" x14ac:dyDescent="0.2">
      <c r="A10" s="22" t="s">
        <v>16</v>
      </c>
      <c r="B10" s="21">
        <v>44772</v>
      </c>
      <c r="C10" s="21">
        <v>41773</v>
      </c>
      <c r="D10" s="21">
        <v>49257</v>
      </c>
      <c r="E10" s="21">
        <v>42063</v>
      </c>
      <c r="F10" s="21">
        <v>16603</v>
      </c>
      <c r="G10" s="21">
        <v>8122</v>
      </c>
      <c r="H10" s="21">
        <v>11418</v>
      </c>
      <c r="I10" s="21">
        <v>2822</v>
      </c>
      <c r="J10" s="21">
        <v>4659</v>
      </c>
      <c r="K10" s="21">
        <v>3347</v>
      </c>
      <c r="L10" s="21">
        <v>5122</v>
      </c>
      <c r="M10" s="21">
        <v>3027</v>
      </c>
      <c r="N10" s="21">
        <v>0</v>
      </c>
      <c r="O10" s="21">
        <v>1050</v>
      </c>
      <c r="P10" s="21">
        <v>1049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1422</v>
      </c>
      <c r="AA10" s="21">
        <v>0</v>
      </c>
      <c r="AB10" s="21">
        <v>0</v>
      </c>
      <c r="AC10" s="21">
        <v>900</v>
      </c>
      <c r="AD10" s="21">
        <v>3046</v>
      </c>
      <c r="AE10" s="21">
        <v>92375</v>
      </c>
      <c r="AF10" s="19">
        <f t="shared" si="0"/>
        <v>332827</v>
      </c>
      <c r="AG10" s="19">
        <f t="shared" si="1"/>
        <v>236506</v>
      </c>
      <c r="AH10" s="19">
        <f t="shared" si="2"/>
        <v>240452</v>
      </c>
      <c r="AI10" s="20">
        <f t="shared" si="3"/>
        <v>1.6410759735830852E-2</v>
      </c>
      <c r="AJ10" s="20">
        <f t="shared" si="4"/>
        <v>0.27754659327518499</v>
      </c>
    </row>
    <row r="11" spans="1:36" ht="26.75" customHeight="1" x14ac:dyDescent="0.2">
      <c r="A11" s="22" t="s">
        <v>17</v>
      </c>
      <c r="B11" s="21">
        <v>22520</v>
      </c>
      <c r="C11" s="21">
        <v>35164</v>
      </c>
      <c r="D11" s="21">
        <v>10314</v>
      </c>
      <c r="E11" s="21">
        <v>14564</v>
      </c>
      <c r="F11" s="21">
        <v>9954</v>
      </c>
      <c r="G11" s="21">
        <v>5459</v>
      </c>
      <c r="H11" s="21">
        <v>5756</v>
      </c>
      <c r="I11" s="21">
        <v>8611</v>
      </c>
      <c r="J11" s="21">
        <v>6417</v>
      </c>
      <c r="K11" s="21">
        <v>6426</v>
      </c>
      <c r="L11" s="21">
        <v>931</v>
      </c>
      <c r="M11" s="21">
        <v>5250</v>
      </c>
      <c r="N11" s="21">
        <v>13661</v>
      </c>
      <c r="O11" s="21">
        <v>0</v>
      </c>
      <c r="P11" s="21">
        <v>1186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4840</v>
      </c>
      <c r="Y11" s="21">
        <v>0</v>
      </c>
      <c r="Z11" s="21">
        <v>0</v>
      </c>
      <c r="AA11" s="21">
        <v>0</v>
      </c>
      <c r="AB11" s="21">
        <v>0</v>
      </c>
      <c r="AC11" s="21">
        <v>1457</v>
      </c>
      <c r="AD11" s="21">
        <v>3050</v>
      </c>
      <c r="AE11" s="21">
        <v>116997</v>
      </c>
      <c r="AF11" s="19">
        <f t="shared" si="0"/>
        <v>272557</v>
      </c>
      <c r="AG11" s="19">
        <f t="shared" si="1"/>
        <v>151053</v>
      </c>
      <c r="AH11" s="19">
        <f t="shared" si="2"/>
        <v>155560</v>
      </c>
      <c r="AI11" s="20">
        <f t="shared" si="3"/>
        <v>2.8972743635896116E-2</v>
      </c>
      <c r="AJ11" s="20">
        <f t="shared" si="4"/>
        <v>0.42925699945332535</v>
      </c>
    </row>
    <row r="12" spans="1:36" ht="26.75" customHeight="1" x14ac:dyDescent="0.2">
      <c r="A12" s="22" t="s">
        <v>18</v>
      </c>
      <c r="B12" s="21">
        <v>36257</v>
      </c>
      <c r="C12" s="21">
        <v>41795</v>
      </c>
      <c r="D12" s="21">
        <v>15586</v>
      </c>
      <c r="E12" s="21">
        <v>24071</v>
      </c>
      <c r="F12" s="21">
        <v>15519</v>
      </c>
      <c r="G12" s="21">
        <v>7680</v>
      </c>
      <c r="H12" s="21">
        <v>5129</v>
      </c>
      <c r="I12" s="21">
        <v>3259</v>
      </c>
      <c r="J12" s="21">
        <v>5743</v>
      </c>
      <c r="K12" s="21">
        <v>1677</v>
      </c>
      <c r="L12" s="21">
        <v>4148</v>
      </c>
      <c r="M12" s="21">
        <v>4319</v>
      </c>
      <c r="N12" s="21">
        <v>0</v>
      </c>
      <c r="O12" s="21">
        <v>1913</v>
      </c>
      <c r="P12" s="21">
        <v>790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1396</v>
      </c>
      <c r="AD12" s="21">
        <v>2958</v>
      </c>
      <c r="AE12" s="21">
        <v>137816</v>
      </c>
      <c r="AF12" s="19">
        <f t="shared" si="0"/>
        <v>310056</v>
      </c>
      <c r="AG12" s="19">
        <f t="shared" si="1"/>
        <v>167886</v>
      </c>
      <c r="AH12" s="19">
        <f t="shared" si="2"/>
        <v>172240</v>
      </c>
      <c r="AI12" s="20">
        <f t="shared" si="3"/>
        <v>2.5278680910357641E-2</v>
      </c>
      <c r="AJ12" s="20">
        <f t="shared" si="4"/>
        <v>0.44448744742885155</v>
      </c>
    </row>
    <row r="13" spans="1:36" ht="26.75" customHeight="1" x14ac:dyDescent="0.2">
      <c r="A13" s="22" t="s">
        <v>19</v>
      </c>
      <c r="B13" s="21">
        <v>134816</v>
      </c>
      <c r="C13" s="21">
        <v>132030</v>
      </c>
      <c r="D13" s="21">
        <v>130955</v>
      </c>
      <c r="E13" s="21">
        <v>114124</v>
      </c>
      <c r="F13" s="21">
        <v>51779</v>
      </c>
      <c r="G13" s="21">
        <v>30715</v>
      </c>
      <c r="H13" s="21">
        <v>37278</v>
      </c>
      <c r="I13" s="21">
        <v>12506</v>
      </c>
      <c r="J13" s="21">
        <v>16808</v>
      </c>
      <c r="K13" s="21">
        <v>14505</v>
      </c>
      <c r="L13" s="21">
        <v>15179</v>
      </c>
      <c r="M13" s="21">
        <v>11908</v>
      </c>
      <c r="N13" s="21">
        <v>0</v>
      </c>
      <c r="O13" s="21">
        <v>5881</v>
      </c>
      <c r="P13" s="21">
        <v>3708</v>
      </c>
      <c r="Q13" s="21">
        <v>0</v>
      </c>
      <c r="R13" s="21">
        <v>8283</v>
      </c>
      <c r="S13" s="21">
        <v>8237</v>
      </c>
      <c r="T13" s="21">
        <v>8062</v>
      </c>
      <c r="U13" s="21">
        <v>0</v>
      </c>
      <c r="V13" s="21">
        <v>6270</v>
      </c>
      <c r="W13" s="21">
        <v>4868</v>
      </c>
      <c r="X13" s="21">
        <v>0</v>
      </c>
      <c r="Y13" s="21">
        <v>1881</v>
      </c>
      <c r="Z13" s="21">
        <v>0</v>
      </c>
      <c r="AA13" s="21">
        <v>790</v>
      </c>
      <c r="AB13" s="21">
        <v>0</v>
      </c>
      <c r="AC13" s="21">
        <v>3744</v>
      </c>
      <c r="AD13" s="21">
        <v>17656</v>
      </c>
      <c r="AE13" s="21">
        <v>342149</v>
      </c>
      <c r="AF13" s="19">
        <f t="shared" si="0"/>
        <v>1114132</v>
      </c>
      <c r="AG13" s="19">
        <f t="shared" si="1"/>
        <v>750583</v>
      </c>
      <c r="AH13" s="19">
        <f t="shared" si="2"/>
        <v>771983</v>
      </c>
      <c r="AI13" s="20">
        <f t="shared" si="3"/>
        <v>2.7720817686399831E-2</v>
      </c>
      <c r="AJ13" s="20">
        <f t="shared" si="4"/>
        <v>0.30709915880703542</v>
      </c>
    </row>
    <row r="14" spans="1:36" ht="26.75" customHeight="1" x14ac:dyDescent="0.2">
      <c r="A14" s="22" t="s">
        <v>20</v>
      </c>
      <c r="B14" s="19">
        <f>SUM(B7:B13)</f>
        <v>416568</v>
      </c>
      <c r="C14" s="19">
        <f t="shared" ref="C14:AE14" si="5">SUM(C7:C13)</f>
        <v>388054</v>
      </c>
      <c r="D14" s="19">
        <f t="shared" si="5"/>
        <v>347612</v>
      </c>
      <c r="E14" s="19">
        <f t="shared" si="5"/>
        <v>312020</v>
      </c>
      <c r="F14" s="19">
        <f t="shared" si="5"/>
        <v>163908</v>
      </c>
      <c r="G14" s="19">
        <f t="shared" si="5"/>
        <v>89969</v>
      </c>
      <c r="H14" s="19">
        <f t="shared" si="5"/>
        <v>84426</v>
      </c>
      <c r="I14" s="19">
        <f t="shared" si="5"/>
        <v>52325</v>
      </c>
      <c r="J14" s="19">
        <f t="shared" si="5"/>
        <v>49654</v>
      </c>
      <c r="K14" s="19">
        <f t="shared" si="5"/>
        <v>45980</v>
      </c>
      <c r="L14" s="19">
        <f t="shared" si="5"/>
        <v>45896</v>
      </c>
      <c r="M14" s="19">
        <f t="shared" si="5"/>
        <v>41801</v>
      </c>
      <c r="N14" s="19">
        <f t="shared" si="5"/>
        <v>13661</v>
      </c>
      <c r="O14" s="19">
        <f t="shared" si="5"/>
        <v>12537</v>
      </c>
      <c r="P14" s="19">
        <f t="shared" si="5"/>
        <v>11610</v>
      </c>
      <c r="Q14" s="19">
        <f t="shared" si="5"/>
        <v>9898</v>
      </c>
      <c r="R14" s="19">
        <f t="shared" si="5"/>
        <v>8283</v>
      </c>
      <c r="S14" s="19">
        <f t="shared" si="5"/>
        <v>8237</v>
      </c>
      <c r="T14" s="19">
        <f t="shared" si="5"/>
        <v>8062</v>
      </c>
      <c r="U14" s="19">
        <f t="shared" si="5"/>
        <v>7994</v>
      </c>
      <c r="V14" s="19">
        <f t="shared" si="5"/>
        <v>6270</v>
      </c>
      <c r="W14" s="19">
        <f t="shared" si="5"/>
        <v>4868</v>
      </c>
      <c r="X14" s="19">
        <f t="shared" si="5"/>
        <v>4840</v>
      </c>
      <c r="Y14" s="19">
        <f t="shared" si="5"/>
        <v>1881</v>
      </c>
      <c r="Z14" s="19">
        <f t="shared" si="5"/>
        <v>1422</v>
      </c>
      <c r="AA14" s="19">
        <f t="shared" si="5"/>
        <v>790</v>
      </c>
      <c r="AB14" s="19">
        <f t="shared" si="5"/>
        <v>679</v>
      </c>
      <c r="AC14" s="19">
        <f t="shared" si="5"/>
        <v>12653</v>
      </c>
      <c r="AD14" s="19">
        <f t="shared" si="5"/>
        <v>39746</v>
      </c>
      <c r="AE14" s="19">
        <f t="shared" si="5"/>
        <v>1098079</v>
      </c>
      <c r="AF14" s="19">
        <f t="shared" si="0"/>
        <v>3289723</v>
      </c>
      <c r="AG14" s="19">
        <f t="shared" si="1"/>
        <v>2139245</v>
      </c>
      <c r="AH14" s="19">
        <f t="shared" si="2"/>
        <v>2191644</v>
      </c>
      <c r="AI14" s="20">
        <f t="shared" si="3"/>
        <v>2.3908536240374804E-2</v>
      </c>
      <c r="AJ14" s="20">
        <f t="shared" si="4"/>
        <v>0.33379071733395183</v>
      </c>
    </row>
    <row r="15" spans="1:36" ht="26.75" customHeight="1" x14ac:dyDescent="0.2">
      <c r="A15" s="22" t="s">
        <v>21</v>
      </c>
      <c r="B15" s="20">
        <f t="shared" ref="B15:AB15" si="6">B14/$AG$14</f>
        <v>0.19472664421326216</v>
      </c>
      <c r="C15" s="20">
        <f t="shared" si="6"/>
        <v>0.18139764262625366</v>
      </c>
      <c r="D15" s="20">
        <f t="shared" si="6"/>
        <v>0.16249284210083464</v>
      </c>
      <c r="E15" s="20">
        <f t="shared" si="6"/>
        <v>0.14585519657636223</v>
      </c>
      <c r="F15" s="20">
        <f t="shared" si="6"/>
        <v>7.6619555029928788E-2</v>
      </c>
      <c r="G15" s="20">
        <f t="shared" si="6"/>
        <v>4.2056426449518403E-2</v>
      </c>
      <c r="H15" s="20">
        <f t="shared" si="6"/>
        <v>3.9465325383488098E-2</v>
      </c>
      <c r="I15" s="20">
        <f t="shared" si="6"/>
        <v>2.445956400505786E-2</v>
      </c>
      <c r="J15" s="20">
        <f t="shared" si="6"/>
        <v>2.3210992663299436E-2</v>
      </c>
      <c r="K15" s="20">
        <f t="shared" si="6"/>
        <v>2.1493564318252469E-2</v>
      </c>
      <c r="L15" s="20">
        <f t="shared" si="6"/>
        <v>2.1454298128545352E-2</v>
      </c>
      <c r="M15" s="20">
        <f t="shared" si="6"/>
        <v>1.9540071380323432E-2</v>
      </c>
      <c r="N15" s="20">
        <f t="shared" si="6"/>
        <v>6.385897828439473E-3</v>
      </c>
      <c r="O15" s="20">
        <f t="shared" si="6"/>
        <v>5.8604788137871068E-3</v>
      </c>
      <c r="P15" s="20">
        <f t="shared" si="6"/>
        <v>5.4271483630907169E-3</v>
      </c>
      <c r="Q15" s="20">
        <f t="shared" si="6"/>
        <v>4.6268660204885365E-3</v>
      </c>
      <c r="R15" s="20">
        <f t="shared" si="6"/>
        <v>3.8719267779052892E-3</v>
      </c>
      <c r="S15" s="20">
        <f t="shared" si="6"/>
        <v>3.8504238644942491E-3</v>
      </c>
      <c r="T15" s="20">
        <f t="shared" si="6"/>
        <v>3.7686193026044237E-3</v>
      </c>
      <c r="U15" s="20">
        <f t="shared" si="6"/>
        <v>3.7368323871272342E-3</v>
      </c>
      <c r="V15" s="20">
        <f t="shared" si="6"/>
        <v>2.9309405888526094E-3</v>
      </c>
      <c r="W15" s="20">
        <f t="shared" si="6"/>
        <v>2.2755691844552634E-3</v>
      </c>
      <c r="X15" s="20">
        <f t="shared" si="6"/>
        <v>2.2624804545528913E-3</v>
      </c>
      <c r="Y15" s="20">
        <f t="shared" si="6"/>
        <v>8.7928217665578278E-4</v>
      </c>
      <c r="Z15" s="20">
        <f t="shared" si="6"/>
        <v>6.6472049718475446E-4</v>
      </c>
      <c r="AA15" s="20">
        <f t="shared" si="6"/>
        <v>3.6928916510264138E-4</v>
      </c>
      <c r="AB15" s="20">
        <f t="shared" si="6"/>
        <v>3.1740170013252339E-4</v>
      </c>
    </row>
    <row r="16" spans="1:36" ht="26.75" customHeight="1" x14ac:dyDescent="0.2">
      <c r="A16" s="22" t="s">
        <v>22</v>
      </c>
      <c r="B16" s="20">
        <v>0.18640000000000001</v>
      </c>
      <c r="C16" s="20">
        <v>0.25019999999999998</v>
      </c>
      <c r="D16" s="20">
        <v>0.216</v>
      </c>
      <c r="E16" s="20">
        <v>0.1598</v>
      </c>
      <c r="F16" s="20">
        <v>9.5500000000000002E-2</v>
      </c>
      <c r="G16" s="20">
        <v>4.9500000000000002E-2</v>
      </c>
      <c r="H16" s="20">
        <v>7.7999999999999996E-3</v>
      </c>
      <c r="I16" s="20">
        <v>5.8999999999999999E-3</v>
      </c>
      <c r="J16" s="20">
        <v>1.0200000000000001E-2</v>
      </c>
      <c r="K16" s="20">
        <v>3.5000000000000001E-3</v>
      </c>
      <c r="L16" s="20">
        <v>7.6E-3</v>
      </c>
      <c r="M16" s="20">
        <v>5.7000000000000002E-3</v>
      </c>
      <c r="N16" s="20">
        <v>0</v>
      </c>
      <c r="O16" s="20">
        <v>0</v>
      </c>
      <c r="P16" s="20">
        <v>2E-3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</row>
    <row r="17" spans="1:29" ht="26.75" customHeight="1" x14ac:dyDescent="0.2">
      <c r="A17" s="22" t="s">
        <v>23</v>
      </c>
      <c r="B17" s="23" t="str">
        <f t="shared" ref="B17:AB17" si="7">B6</f>
        <v>LIBERACIÓN NACIONAL</v>
      </c>
      <c r="C17" s="23" t="str">
        <f t="shared" si="7"/>
        <v>RESTAURACIÓN NACIONAL</v>
      </c>
      <c r="D17" s="23" t="str">
        <f t="shared" si="7"/>
        <v>ACCIÓN CIUDADANA</v>
      </c>
      <c r="E17" s="23" t="str">
        <f t="shared" si="7"/>
        <v>UNIDAD SOCIAL CRISTIANA</v>
      </c>
      <c r="F17" s="23" t="str">
        <f t="shared" si="7"/>
        <v>INTEGRACIÓN NACIONAL</v>
      </c>
      <c r="G17" s="23" t="str">
        <f t="shared" si="7"/>
        <v>REPUBLICANO SOCIAL CRISTIANO</v>
      </c>
      <c r="H17" s="23" t="str">
        <f t="shared" si="7"/>
        <v>FRENTE AMPLIO</v>
      </c>
      <c r="I17" s="23" t="str">
        <f t="shared" si="7"/>
        <v>ALIANZA DEMÓCRATA CRISTIANA</v>
      </c>
      <c r="J17" s="23" t="str">
        <f t="shared" si="7"/>
        <v>MOVIMIENTO LIBERTARIO</v>
      </c>
      <c r="K17" s="23" t="str">
        <f t="shared" si="7"/>
        <v>ACCESIBILIDAD SIN EXCLUSIÓN</v>
      </c>
      <c r="L17" s="23" t="str">
        <f t="shared" si="7"/>
        <v>NUEVA GENERACIÓN</v>
      </c>
      <c r="M17" s="23" t="str">
        <f t="shared" si="7"/>
        <v>RENOVACIÓN COSTARRICENSE</v>
      </c>
      <c r="N17" s="23" t="str">
        <f t="shared" si="7"/>
        <v>AUTÉNTICO LIMONENSE</v>
      </c>
      <c r="O17" s="23" t="str">
        <f t="shared" si="7"/>
        <v>LIBERAL PROGRESISTA</v>
      </c>
      <c r="P17" s="23" t="str">
        <f t="shared" si="7"/>
        <v>DE LOS TRABAJADORES</v>
      </c>
      <c r="Q17" s="23" t="str">
        <f t="shared" si="7"/>
        <v>ACTUEMOS YA</v>
      </c>
      <c r="R17" s="23" t="str">
        <f t="shared" si="7"/>
        <v>VAMOS</v>
      </c>
      <c r="S17" s="23" t="str">
        <f t="shared" si="7"/>
        <v>FUERZAS UNIDAS PARA EL CAMBIO</v>
      </c>
      <c r="T17" s="23" t="str">
        <f t="shared" si="7"/>
        <v>TODOS</v>
      </c>
      <c r="U17" s="23" t="str">
        <f t="shared" si="7"/>
        <v>UNIÓN GUANACASTECA</v>
      </c>
      <c r="V17" s="23" t="str">
        <f t="shared" si="7"/>
        <v>COMUNAL UNIDO</v>
      </c>
      <c r="W17" s="23" t="str">
        <f t="shared" si="7"/>
        <v>DE LOS TRANSPORTISTAS</v>
      </c>
      <c r="X17" s="23" t="str">
        <f t="shared" si="7"/>
        <v>RECUPERANDO VALORES</v>
      </c>
      <c r="Y17" s="23" t="str">
        <f t="shared" si="7"/>
        <v>PATRIA, IGUALDAD Y DEMOCRACIA</v>
      </c>
      <c r="Z17" s="23" t="str">
        <f t="shared" si="7"/>
        <v>ALIANZA DEMOCRÁTICA NACIONALISTA</v>
      </c>
      <c r="AA17" s="23" t="str">
        <f t="shared" si="7"/>
        <v>NUEVO PARTIDO SOCIALISTA</v>
      </c>
      <c r="AB17" s="23" t="str">
        <f t="shared" si="7"/>
        <v>TODO POR FLORES</v>
      </c>
      <c r="AC17" s="22" t="s">
        <v>24</v>
      </c>
    </row>
    <row r="18" spans="1:29" ht="26.75" customHeight="1" x14ac:dyDescent="0.2">
      <c r="A18" s="22" t="s">
        <v>13</v>
      </c>
      <c r="B18" s="21">
        <v>3</v>
      </c>
      <c r="C18" s="21">
        <v>2</v>
      </c>
      <c r="D18" s="21">
        <v>2</v>
      </c>
      <c r="E18" s="21">
        <v>2</v>
      </c>
      <c r="F18" s="21">
        <v>1</v>
      </c>
      <c r="G18" s="21">
        <v>1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19">
        <f t="shared" ref="AC18:AC24" si="8">SUM(B18:AB18)</f>
        <v>11</v>
      </c>
    </row>
    <row r="19" spans="1:29" ht="26.75" customHeight="1" x14ac:dyDescent="0.2">
      <c r="A19" s="22" t="s">
        <v>14</v>
      </c>
      <c r="B19" s="21">
        <v>2</v>
      </c>
      <c r="C19" s="21">
        <v>1</v>
      </c>
      <c r="D19" s="21">
        <v>2</v>
      </c>
      <c r="E19" s="21">
        <v>1</v>
      </c>
      <c r="F19" s="21">
        <v>1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19">
        <f t="shared" si="8"/>
        <v>7</v>
      </c>
    </row>
    <row r="20" spans="1:29" ht="26.75" customHeight="1" x14ac:dyDescent="0.2">
      <c r="A20" s="22" t="s">
        <v>15</v>
      </c>
      <c r="B20" s="21">
        <v>2</v>
      </c>
      <c r="C20" s="21">
        <v>1</v>
      </c>
      <c r="D20" s="21">
        <v>0</v>
      </c>
      <c r="E20" s="21">
        <v>1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19">
        <f t="shared" si="8"/>
        <v>4</v>
      </c>
    </row>
    <row r="21" spans="1:29" ht="26.75" customHeight="1" x14ac:dyDescent="0.2">
      <c r="A21" s="22" t="s">
        <v>16</v>
      </c>
      <c r="B21" s="21">
        <v>2</v>
      </c>
      <c r="C21" s="21">
        <v>1</v>
      </c>
      <c r="D21" s="21">
        <v>2</v>
      </c>
      <c r="E21" s="21">
        <v>1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19">
        <f t="shared" si="8"/>
        <v>6</v>
      </c>
    </row>
    <row r="22" spans="1:29" ht="26.75" customHeight="1" x14ac:dyDescent="0.2">
      <c r="A22" s="22" t="s">
        <v>17</v>
      </c>
      <c r="B22" s="21">
        <v>2</v>
      </c>
      <c r="C22" s="21">
        <v>3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19">
        <f t="shared" si="8"/>
        <v>5</v>
      </c>
    </row>
    <row r="23" spans="1:29" ht="26.75" customHeight="1" x14ac:dyDescent="0.2">
      <c r="A23" s="22" t="s">
        <v>18</v>
      </c>
      <c r="B23" s="21">
        <v>2</v>
      </c>
      <c r="C23" s="21">
        <v>2</v>
      </c>
      <c r="D23" s="21">
        <v>0</v>
      </c>
      <c r="E23" s="21">
        <v>1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19">
        <f t="shared" si="8"/>
        <v>5</v>
      </c>
    </row>
    <row r="24" spans="1:29" ht="26.75" customHeight="1" x14ac:dyDescent="0.2">
      <c r="A24" s="22" t="s">
        <v>19</v>
      </c>
      <c r="B24" s="21">
        <v>4</v>
      </c>
      <c r="C24" s="21">
        <v>4</v>
      </c>
      <c r="D24" s="21">
        <v>4</v>
      </c>
      <c r="E24" s="21">
        <v>3</v>
      </c>
      <c r="F24" s="21">
        <v>2</v>
      </c>
      <c r="G24" s="21">
        <v>1</v>
      </c>
      <c r="H24" s="21">
        <v>1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19">
        <f t="shared" si="8"/>
        <v>19</v>
      </c>
    </row>
    <row r="25" spans="1:29" ht="26.75" customHeight="1" x14ac:dyDescent="0.2">
      <c r="A25" s="18"/>
      <c r="B25" s="19">
        <f t="shared" ref="B25:AC25" si="9">SUM(B18:B24)</f>
        <v>17</v>
      </c>
      <c r="C25" s="19">
        <f t="shared" si="9"/>
        <v>14</v>
      </c>
      <c r="D25" s="19">
        <f t="shared" si="9"/>
        <v>10</v>
      </c>
      <c r="E25" s="19">
        <f t="shared" si="9"/>
        <v>9</v>
      </c>
      <c r="F25" s="19">
        <f t="shared" si="9"/>
        <v>4</v>
      </c>
      <c r="G25" s="19">
        <f t="shared" si="9"/>
        <v>2</v>
      </c>
      <c r="H25" s="19">
        <f t="shared" si="9"/>
        <v>1</v>
      </c>
      <c r="I25" s="19">
        <f t="shared" si="9"/>
        <v>0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0</v>
      </c>
      <c r="W25" s="19">
        <f t="shared" si="9"/>
        <v>0</v>
      </c>
      <c r="X25" s="19">
        <f t="shared" si="9"/>
        <v>0</v>
      </c>
      <c r="Y25" s="19">
        <f t="shared" si="9"/>
        <v>0</v>
      </c>
      <c r="Z25" s="19">
        <f t="shared" si="9"/>
        <v>0</v>
      </c>
      <c r="AA25" s="19">
        <f t="shared" si="9"/>
        <v>0</v>
      </c>
      <c r="AB25" s="19">
        <f t="shared" si="9"/>
        <v>0</v>
      </c>
      <c r="AC25" s="19">
        <f t="shared" si="9"/>
        <v>57</v>
      </c>
    </row>
  </sheetData>
  <mergeCells count="1">
    <mergeCell ref="A5:AJ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5:AS25"/>
  <sheetViews>
    <sheetView workbookViewId="0"/>
  </sheetViews>
  <sheetFormatPr baseColWidth="10" defaultColWidth="8.83203125" defaultRowHeight="16" x14ac:dyDescent="0.2"/>
  <cols>
    <col min="1" max="1" width="25.5" customWidth="1"/>
    <col min="2" max="37" width="26.1640625" customWidth="1"/>
    <col min="38" max="38" width="24.6640625" customWidth="1"/>
    <col min="39" max="41" width="18.6640625" customWidth="1"/>
    <col min="42" max="42" width="16.6640625" customWidth="1"/>
    <col min="43" max="43" width="19" customWidth="1"/>
    <col min="44" max="44" width="17.6640625" customWidth="1"/>
    <col min="45" max="45" width="23.1640625" customWidth="1"/>
  </cols>
  <sheetData>
    <row r="5" spans="1:45" ht="42.75" customHeight="1" x14ac:dyDescent="0.2">
      <c r="A5" s="32">
        <v>2022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</row>
    <row r="6" spans="1:45" ht="26.75" customHeight="1" x14ac:dyDescent="0.2">
      <c r="A6" s="22" t="s">
        <v>0</v>
      </c>
      <c r="B6" s="23" t="s">
        <v>1</v>
      </c>
      <c r="C6" s="23" t="s">
        <v>144</v>
      </c>
      <c r="D6" s="23" t="s">
        <v>77</v>
      </c>
      <c r="E6" s="23" t="s">
        <v>145</v>
      </c>
      <c r="F6" s="23" t="s">
        <v>135</v>
      </c>
      <c r="G6" s="23" t="s">
        <v>106</v>
      </c>
      <c r="H6" s="23" t="s">
        <v>98</v>
      </c>
      <c r="I6" s="23" t="s">
        <v>103</v>
      </c>
      <c r="J6" s="23" t="s">
        <v>124</v>
      </c>
      <c r="K6" s="23" t="s">
        <v>105</v>
      </c>
      <c r="L6" s="23" t="s">
        <v>134</v>
      </c>
      <c r="M6" s="23" t="s">
        <v>146</v>
      </c>
      <c r="N6" s="23" t="s">
        <v>147</v>
      </c>
      <c r="O6" s="23" t="s">
        <v>148</v>
      </c>
      <c r="P6" s="23" t="s">
        <v>89</v>
      </c>
      <c r="Q6" s="23" t="s">
        <v>149</v>
      </c>
      <c r="R6" s="23" t="s">
        <v>125</v>
      </c>
      <c r="S6" s="23" t="s">
        <v>150</v>
      </c>
      <c r="T6" s="23" t="s">
        <v>88</v>
      </c>
      <c r="U6" s="23" t="s">
        <v>151</v>
      </c>
      <c r="V6" s="23" t="s">
        <v>152</v>
      </c>
      <c r="W6" s="23" t="s">
        <v>140</v>
      </c>
      <c r="X6" s="23" t="s">
        <v>153</v>
      </c>
      <c r="Y6" s="23" t="s">
        <v>142</v>
      </c>
      <c r="Z6" s="23" t="s">
        <v>91</v>
      </c>
      <c r="AA6" s="23" t="s">
        <v>127</v>
      </c>
      <c r="AB6" s="23" t="s">
        <v>154</v>
      </c>
      <c r="AC6" s="23" t="s">
        <v>137</v>
      </c>
      <c r="AD6" s="23" t="s">
        <v>155</v>
      </c>
      <c r="AE6" s="23" t="s">
        <v>156</v>
      </c>
      <c r="AF6" s="23" t="s">
        <v>136</v>
      </c>
      <c r="AG6" s="23" t="s">
        <v>157</v>
      </c>
      <c r="AH6" s="23" t="s">
        <v>158</v>
      </c>
      <c r="AI6" s="23" t="s">
        <v>159</v>
      </c>
      <c r="AJ6" s="23" t="s">
        <v>132</v>
      </c>
      <c r="AK6" s="23" t="s">
        <v>160</v>
      </c>
      <c r="AL6" s="23" t="s">
        <v>5</v>
      </c>
      <c r="AM6" s="23" t="s">
        <v>6</v>
      </c>
      <c r="AN6" s="23" t="s">
        <v>7</v>
      </c>
      <c r="AO6" s="22" t="s">
        <v>8</v>
      </c>
      <c r="AP6" s="22" t="s">
        <v>9</v>
      </c>
      <c r="AQ6" s="22" t="s">
        <v>10</v>
      </c>
      <c r="AR6" s="22" t="s">
        <v>11</v>
      </c>
      <c r="AS6" s="22" t="s">
        <v>12</v>
      </c>
    </row>
    <row r="7" spans="1:45" ht="26.75" customHeight="1" x14ac:dyDescent="0.2">
      <c r="A7" s="22" t="s">
        <v>13</v>
      </c>
      <c r="B7" s="21">
        <v>108377</v>
      </c>
      <c r="C7" s="21">
        <v>78496</v>
      </c>
      <c r="D7" s="21">
        <v>47434</v>
      </c>
      <c r="E7" s="21">
        <v>45112</v>
      </c>
      <c r="F7" s="21">
        <v>36594</v>
      </c>
      <c r="G7" s="21">
        <v>28645</v>
      </c>
      <c r="H7" s="21">
        <v>7414</v>
      </c>
      <c r="I7" s="21">
        <v>6827</v>
      </c>
      <c r="J7" s="21">
        <v>4224</v>
      </c>
      <c r="K7" s="21">
        <v>4474</v>
      </c>
      <c r="L7" s="21">
        <v>7670</v>
      </c>
      <c r="M7" s="21">
        <v>4548</v>
      </c>
      <c r="N7" s="21">
        <v>4667</v>
      </c>
      <c r="O7" s="21">
        <v>3181</v>
      </c>
      <c r="P7" s="21">
        <v>6019</v>
      </c>
      <c r="Q7" s="21">
        <v>2692</v>
      </c>
      <c r="R7" s="21">
        <v>2311</v>
      </c>
      <c r="S7" s="21">
        <v>2063</v>
      </c>
      <c r="T7" s="21">
        <v>2623</v>
      </c>
      <c r="U7" s="21">
        <v>3775</v>
      </c>
      <c r="V7" s="21">
        <v>1077</v>
      </c>
      <c r="W7" s="21">
        <v>0</v>
      </c>
      <c r="X7" s="21">
        <v>1445</v>
      </c>
      <c r="Y7" s="21">
        <v>0</v>
      </c>
      <c r="Z7" s="21">
        <v>1753</v>
      </c>
      <c r="AA7" s="21">
        <v>1267</v>
      </c>
      <c r="AB7" s="21">
        <v>608</v>
      </c>
      <c r="AC7" s="21">
        <v>0</v>
      </c>
      <c r="AD7" s="21">
        <v>3997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3804</v>
      </c>
      <c r="AM7" s="21">
        <v>4297</v>
      </c>
      <c r="AN7" s="21">
        <v>254451</v>
      </c>
      <c r="AO7" s="19">
        <f t="shared" ref="AO7:AO14" si="0">SUM(B7:AN7)</f>
        <v>679845</v>
      </c>
      <c r="AP7" s="19">
        <f t="shared" ref="AP7:AP14" si="1">SUM(B7:AK7)</f>
        <v>417293</v>
      </c>
      <c r="AQ7" s="19">
        <f t="shared" ref="AQ7:AQ14" si="2">SUM(B7:AM7)</f>
        <v>425394</v>
      </c>
      <c r="AR7" s="20">
        <f t="shared" ref="AR7:AR14" si="3">(AQ7-AP7)/AQ7</f>
        <v>1.9043522005481976E-2</v>
      </c>
      <c r="AS7" s="20">
        <f t="shared" ref="AS7:AS14" si="4">AN7/AO7</f>
        <v>0.3742779604174481</v>
      </c>
    </row>
    <row r="8" spans="1:45" ht="26.75" customHeight="1" x14ac:dyDescent="0.2">
      <c r="A8" s="22" t="s">
        <v>14</v>
      </c>
      <c r="B8" s="21">
        <v>71862</v>
      </c>
      <c r="C8" s="21">
        <v>29640</v>
      </c>
      <c r="D8" s="21">
        <v>32161</v>
      </c>
      <c r="E8" s="21">
        <v>15260</v>
      </c>
      <c r="F8" s="21">
        <v>24209</v>
      </c>
      <c r="G8" s="21">
        <v>25442</v>
      </c>
      <c r="H8" s="21">
        <v>8078</v>
      </c>
      <c r="I8" s="21">
        <v>4148</v>
      </c>
      <c r="J8" s="21">
        <v>12491</v>
      </c>
      <c r="K8" s="21">
        <v>4029</v>
      </c>
      <c r="L8" s="21">
        <v>3343</v>
      </c>
      <c r="M8" s="21">
        <v>2559</v>
      </c>
      <c r="N8" s="21">
        <v>2512</v>
      </c>
      <c r="O8" s="21">
        <v>3217</v>
      </c>
      <c r="P8" s="21">
        <v>3375</v>
      </c>
      <c r="Q8" s="21">
        <v>3689</v>
      </c>
      <c r="R8" s="21">
        <v>4071</v>
      </c>
      <c r="S8" s="21">
        <v>1713</v>
      </c>
      <c r="T8" s="21">
        <v>2650</v>
      </c>
      <c r="U8" s="21">
        <v>1735</v>
      </c>
      <c r="V8" s="21">
        <v>2227</v>
      </c>
      <c r="W8" s="21">
        <v>0</v>
      </c>
      <c r="X8" s="21">
        <v>1071</v>
      </c>
      <c r="Y8" s="21">
        <v>0</v>
      </c>
      <c r="Z8" s="21">
        <v>704</v>
      </c>
      <c r="AA8" s="21">
        <v>608</v>
      </c>
      <c r="AB8" s="21">
        <v>714</v>
      </c>
      <c r="AC8" s="21">
        <v>0</v>
      </c>
      <c r="AD8" s="21">
        <v>0</v>
      </c>
      <c r="AE8" s="21">
        <v>2995</v>
      </c>
      <c r="AF8" s="21">
        <v>1861</v>
      </c>
      <c r="AG8" s="21">
        <v>0</v>
      </c>
      <c r="AH8" s="21">
        <v>0</v>
      </c>
      <c r="AI8" s="21">
        <v>837</v>
      </c>
      <c r="AJ8" s="21">
        <v>0</v>
      </c>
      <c r="AK8" s="21">
        <v>0</v>
      </c>
      <c r="AL8" s="21">
        <v>2651</v>
      </c>
      <c r="AM8" s="21">
        <v>3302</v>
      </c>
      <c r="AN8" s="21">
        <v>136724</v>
      </c>
      <c r="AO8" s="19">
        <f t="shared" si="0"/>
        <v>409878</v>
      </c>
      <c r="AP8" s="19">
        <f t="shared" si="1"/>
        <v>267201</v>
      </c>
      <c r="AQ8" s="19">
        <f t="shared" si="2"/>
        <v>273154</v>
      </c>
      <c r="AR8" s="20">
        <f t="shared" si="3"/>
        <v>2.179356699883582E-2</v>
      </c>
      <c r="AS8" s="20">
        <f t="shared" si="4"/>
        <v>0.33357242886907812</v>
      </c>
    </row>
    <row r="9" spans="1:45" ht="26.75" customHeight="1" x14ac:dyDescent="0.2">
      <c r="A9" s="22" t="s">
        <v>15</v>
      </c>
      <c r="B9" s="21">
        <v>34697</v>
      </c>
      <c r="C9" s="21">
        <v>16551</v>
      </c>
      <c r="D9" s="21">
        <v>22937</v>
      </c>
      <c r="E9" s="21">
        <v>12222</v>
      </c>
      <c r="F9" s="21">
        <v>4743</v>
      </c>
      <c r="G9" s="21">
        <v>5562</v>
      </c>
      <c r="H9" s="21">
        <v>2646</v>
      </c>
      <c r="I9" s="21">
        <v>2579</v>
      </c>
      <c r="J9" s="21">
        <v>1454</v>
      </c>
      <c r="K9" s="21">
        <v>3169</v>
      </c>
      <c r="L9" s="21">
        <v>2446</v>
      </c>
      <c r="M9" s="21">
        <v>2073</v>
      </c>
      <c r="N9" s="21">
        <v>714</v>
      </c>
      <c r="O9" s="21">
        <v>1925</v>
      </c>
      <c r="P9" s="21">
        <v>1665</v>
      </c>
      <c r="Q9" s="21">
        <v>1102</v>
      </c>
      <c r="R9" s="21">
        <v>548</v>
      </c>
      <c r="S9" s="21">
        <v>1306</v>
      </c>
      <c r="T9" s="21">
        <v>922</v>
      </c>
      <c r="U9" s="21">
        <v>745</v>
      </c>
      <c r="V9" s="21">
        <v>549</v>
      </c>
      <c r="W9" s="21">
        <v>10086</v>
      </c>
      <c r="X9" s="21">
        <v>316</v>
      </c>
      <c r="Y9" s="21">
        <v>0</v>
      </c>
      <c r="Z9" s="21">
        <v>246</v>
      </c>
      <c r="AA9" s="21">
        <v>273</v>
      </c>
      <c r="AB9" s="21">
        <v>918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1729</v>
      </c>
      <c r="AM9" s="21">
        <v>2312</v>
      </c>
      <c r="AN9" s="21">
        <v>123559</v>
      </c>
      <c r="AO9" s="19">
        <f t="shared" si="0"/>
        <v>259994</v>
      </c>
      <c r="AP9" s="19">
        <f t="shared" si="1"/>
        <v>132394</v>
      </c>
      <c r="AQ9" s="19">
        <f t="shared" si="2"/>
        <v>136435</v>
      </c>
      <c r="AR9" s="20">
        <f t="shared" si="3"/>
        <v>2.9618499651848866E-2</v>
      </c>
      <c r="AS9" s="20">
        <f t="shared" si="4"/>
        <v>0.47523789010515627</v>
      </c>
    </row>
    <row r="10" spans="1:45" ht="26.75" customHeight="1" x14ac:dyDescent="0.2">
      <c r="A10" s="22" t="s">
        <v>16</v>
      </c>
      <c r="B10" s="21">
        <v>60023</v>
      </c>
      <c r="C10" s="21">
        <v>32371</v>
      </c>
      <c r="D10" s="21">
        <v>26340</v>
      </c>
      <c r="E10" s="21">
        <v>19032</v>
      </c>
      <c r="F10" s="21">
        <v>29658</v>
      </c>
      <c r="G10" s="21">
        <v>24672</v>
      </c>
      <c r="H10" s="21">
        <v>5457</v>
      </c>
      <c r="I10" s="21">
        <v>4822</v>
      </c>
      <c r="J10" s="21">
        <v>2564</v>
      </c>
      <c r="K10" s="21">
        <v>3537</v>
      </c>
      <c r="L10" s="21">
        <v>1969</v>
      </c>
      <c r="M10" s="21">
        <v>2881</v>
      </c>
      <c r="N10" s="21">
        <v>2861</v>
      </c>
      <c r="O10" s="21">
        <v>1825</v>
      </c>
      <c r="P10" s="21">
        <v>1096</v>
      </c>
      <c r="Q10" s="21">
        <v>3627</v>
      </c>
      <c r="R10" s="21">
        <v>828</v>
      </c>
      <c r="S10" s="21">
        <v>1487</v>
      </c>
      <c r="T10" s="21">
        <v>1067</v>
      </c>
      <c r="U10" s="21">
        <v>548</v>
      </c>
      <c r="V10" s="21">
        <v>3107</v>
      </c>
      <c r="W10" s="21">
        <v>0</v>
      </c>
      <c r="X10" s="21">
        <v>672</v>
      </c>
      <c r="Y10" s="21">
        <v>0</v>
      </c>
      <c r="Z10" s="21">
        <v>494</v>
      </c>
      <c r="AA10" s="21">
        <v>535</v>
      </c>
      <c r="AB10" s="21">
        <v>348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1364</v>
      </c>
      <c r="AM10" s="21">
        <v>1916</v>
      </c>
      <c r="AN10" s="21">
        <v>120637</v>
      </c>
      <c r="AO10" s="19">
        <f t="shared" si="0"/>
        <v>355738</v>
      </c>
      <c r="AP10" s="19">
        <f t="shared" si="1"/>
        <v>231821</v>
      </c>
      <c r="AQ10" s="19">
        <f t="shared" si="2"/>
        <v>235101</v>
      </c>
      <c r="AR10" s="20">
        <f t="shared" si="3"/>
        <v>1.3951450653123551E-2</v>
      </c>
      <c r="AS10" s="20">
        <f t="shared" si="4"/>
        <v>0.33911755280571659</v>
      </c>
    </row>
    <row r="11" spans="1:45" ht="26.75" customHeight="1" x14ac:dyDescent="0.2">
      <c r="A11" s="22" t="s">
        <v>17</v>
      </c>
      <c r="B11" s="21">
        <v>29179</v>
      </c>
      <c r="C11" s="21">
        <v>11957</v>
      </c>
      <c r="D11" s="21">
        <v>18608</v>
      </c>
      <c r="E11" s="21">
        <v>23179</v>
      </c>
      <c r="F11" s="21">
        <v>3378</v>
      </c>
      <c r="G11" s="21">
        <v>7705</v>
      </c>
      <c r="H11" s="21">
        <v>3255</v>
      </c>
      <c r="I11" s="21">
        <v>6062</v>
      </c>
      <c r="J11" s="21">
        <v>3323</v>
      </c>
      <c r="K11" s="21">
        <v>1988</v>
      </c>
      <c r="L11" s="21">
        <v>2827</v>
      </c>
      <c r="M11" s="21">
        <v>3899</v>
      </c>
      <c r="N11" s="21">
        <v>1223</v>
      </c>
      <c r="O11" s="21">
        <v>1569</v>
      </c>
      <c r="P11" s="21">
        <v>3940</v>
      </c>
      <c r="Q11" s="21">
        <v>1693</v>
      </c>
      <c r="R11" s="21">
        <v>1619</v>
      </c>
      <c r="S11" s="21">
        <v>6194</v>
      </c>
      <c r="T11" s="21">
        <v>625</v>
      </c>
      <c r="U11" s="21">
        <v>820</v>
      </c>
      <c r="V11" s="21">
        <v>619</v>
      </c>
      <c r="W11" s="21">
        <v>0</v>
      </c>
      <c r="X11" s="21">
        <v>954</v>
      </c>
      <c r="Y11" s="21">
        <v>9059</v>
      </c>
      <c r="Z11" s="21">
        <v>635</v>
      </c>
      <c r="AA11" s="21">
        <v>474</v>
      </c>
      <c r="AB11" s="21">
        <v>655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351</v>
      </c>
      <c r="AL11" s="21">
        <v>1891</v>
      </c>
      <c r="AM11" s="21">
        <v>2525</v>
      </c>
      <c r="AN11" s="21">
        <v>144725</v>
      </c>
      <c r="AO11" s="19">
        <f t="shared" si="0"/>
        <v>294931</v>
      </c>
      <c r="AP11" s="19">
        <f t="shared" si="1"/>
        <v>145790</v>
      </c>
      <c r="AQ11" s="19">
        <f t="shared" si="2"/>
        <v>150206</v>
      </c>
      <c r="AR11" s="20">
        <f t="shared" si="3"/>
        <v>2.9399624515665152E-2</v>
      </c>
      <c r="AS11" s="20">
        <f t="shared" si="4"/>
        <v>0.49070799610756416</v>
      </c>
    </row>
    <row r="12" spans="1:45" ht="26.75" customHeight="1" x14ac:dyDescent="0.2">
      <c r="A12" s="22" t="s">
        <v>18</v>
      </c>
      <c r="B12" s="21">
        <v>36687</v>
      </c>
      <c r="C12" s="21">
        <v>18406</v>
      </c>
      <c r="D12" s="21">
        <v>21852</v>
      </c>
      <c r="E12" s="21">
        <v>26600</v>
      </c>
      <c r="F12" s="21">
        <v>4120</v>
      </c>
      <c r="G12" s="21">
        <v>8557</v>
      </c>
      <c r="H12" s="21">
        <v>4549</v>
      </c>
      <c r="I12" s="21">
        <v>7722</v>
      </c>
      <c r="J12" s="21">
        <v>3863</v>
      </c>
      <c r="K12" s="21">
        <v>1080</v>
      </c>
      <c r="L12" s="21">
        <v>4670</v>
      </c>
      <c r="M12" s="21">
        <v>2891</v>
      </c>
      <c r="N12" s="21">
        <v>1058</v>
      </c>
      <c r="O12" s="21">
        <v>1250</v>
      </c>
      <c r="P12" s="21">
        <v>1583</v>
      </c>
      <c r="Q12" s="21">
        <v>768</v>
      </c>
      <c r="R12" s="21">
        <v>6482</v>
      </c>
      <c r="S12" s="21">
        <v>1525</v>
      </c>
      <c r="T12" s="21">
        <v>934</v>
      </c>
      <c r="U12" s="21">
        <v>827</v>
      </c>
      <c r="V12" s="21">
        <v>1540</v>
      </c>
      <c r="W12" s="21">
        <v>0</v>
      </c>
      <c r="X12" s="21">
        <v>1244</v>
      </c>
      <c r="Y12" s="21">
        <v>0</v>
      </c>
      <c r="Z12" s="21">
        <v>338</v>
      </c>
      <c r="AA12" s="21">
        <v>360</v>
      </c>
      <c r="AB12" s="21">
        <v>621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2172</v>
      </c>
      <c r="AM12" s="21">
        <v>2396</v>
      </c>
      <c r="AN12" s="21">
        <v>168769</v>
      </c>
      <c r="AO12" s="19">
        <f t="shared" si="0"/>
        <v>332864</v>
      </c>
      <c r="AP12" s="19">
        <f t="shared" si="1"/>
        <v>159527</v>
      </c>
      <c r="AQ12" s="19">
        <f t="shared" si="2"/>
        <v>164095</v>
      </c>
      <c r="AR12" s="20">
        <f t="shared" si="3"/>
        <v>2.7837533136293002E-2</v>
      </c>
      <c r="AS12" s="20">
        <f t="shared" si="4"/>
        <v>0.50702088540665258</v>
      </c>
    </row>
    <row r="13" spans="1:45" ht="26.75" customHeight="1" x14ac:dyDescent="0.2">
      <c r="A13" s="22" t="s">
        <v>19</v>
      </c>
      <c r="B13" s="21">
        <v>174406</v>
      </c>
      <c r="C13" s="21">
        <v>124699</v>
      </c>
      <c r="D13" s="21">
        <v>67609</v>
      </c>
      <c r="E13" s="21">
        <v>67669</v>
      </c>
      <c r="F13" s="21">
        <v>85372</v>
      </c>
      <c r="G13" s="21">
        <v>72378</v>
      </c>
      <c r="H13" s="21">
        <v>13223</v>
      </c>
      <c r="I13" s="21">
        <v>10335</v>
      </c>
      <c r="J13" s="21">
        <v>9225</v>
      </c>
      <c r="K13" s="21">
        <v>13062</v>
      </c>
      <c r="L13" s="21">
        <v>8302</v>
      </c>
      <c r="M13" s="21">
        <v>6496</v>
      </c>
      <c r="N13" s="21">
        <v>11610</v>
      </c>
      <c r="O13" s="21">
        <v>11551</v>
      </c>
      <c r="P13" s="21">
        <v>5032</v>
      </c>
      <c r="Q13" s="21">
        <v>7529</v>
      </c>
      <c r="R13" s="21">
        <v>2616</v>
      </c>
      <c r="S13" s="21">
        <v>3809</v>
      </c>
      <c r="T13" s="21">
        <v>4652</v>
      </c>
      <c r="U13" s="21">
        <v>3152</v>
      </c>
      <c r="V13" s="21">
        <v>1417</v>
      </c>
      <c r="W13" s="21">
        <v>0</v>
      </c>
      <c r="X13" s="21">
        <v>3538</v>
      </c>
      <c r="Y13" s="21">
        <v>0</v>
      </c>
      <c r="Z13" s="21">
        <v>1932</v>
      </c>
      <c r="AA13" s="21">
        <v>2114</v>
      </c>
      <c r="AB13" s="21">
        <v>1454</v>
      </c>
      <c r="AC13" s="21">
        <v>5205</v>
      </c>
      <c r="AD13" s="21">
        <v>0</v>
      </c>
      <c r="AE13" s="21">
        <v>0</v>
      </c>
      <c r="AF13" s="21">
        <v>0</v>
      </c>
      <c r="AG13" s="21">
        <v>1768</v>
      </c>
      <c r="AH13" s="21">
        <v>913</v>
      </c>
      <c r="AI13" s="21">
        <v>0</v>
      </c>
      <c r="AJ13" s="21">
        <v>778</v>
      </c>
      <c r="AK13" s="21">
        <v>0</v>
      </c>
      <c r="AL13" s="21">
        <v>4820</v>
      </c>
      <c r="AM13" s="21">
        <v>6451</v>
      </c>
      <c r="AN13" s="21">
        <v>424711</v>
      </c>
      <c r="AO13" s="19">
        <f t="shared" si="0"/>
        <v>1157828</v>
      </c>
      <c r="AP13" s="19">
        <f t="shared" si="1"/>
        <v>721846</v>
      </c>
      <c r="AQ13" s="19">
        <f t="shared" si="2"/>
        <v>733117</v>
      </c>
      <c r="AR13" s="20">
        <f t="shared" si="3"/>
        <v>1.5374080808383928E-2</v>
      </c>
      <c r="AS13" s="20">
        <f t="shared" si="4"/>
        <v>0.36681700563468839</v>
      </c>
    </row>
    <row r="14" spans="1:45" ht="26.75" customHeight="1" x14ac:dyDescent="0.2">
      <c r="A14" s="22" t="s">
        <v>20</v>
      </c>
      <c r="B14" s="19">
        <f t="shared" ref="B14:AN14" si="5">SUM(B7:B13)</f>
        <v>515231</v>
      </c>
      <c r="C14" s="19">
        <f t="shared" si="5"/>
        <v>312120</v>
      </c>
      <c r="D14" s="19">
        <f t="shared" si="5"/>
        <v>236941</v>
      </c>
      <c r="E14" s="19">
        <f t="shared" si="5"/>
        <v>209074</v>
      </c>
      <c r="F14" s="19">
        <f t="shared" si="5"/>
        <v>188074</v>
      </c>
      <c r="G14" s="19">
        <f t="shared" si="5"/>
        <v>172961</v>
      </c>
      <c r="H14" s="19">
        <f t="shared" si="5"/>
        <v>44622</v>
      </c>
      <c r="I14" s="19">
        <f t="shared" si="5"/>
        <v>42495</v>
      </c>
      <c r="J14" s="19">
        <f t="shared" si="5"/>
        <v>37144</v>
      </c>
      <c r="K14" s="19">
        <f t="shared" si="5"/>
        <v>31339</v>
      </c>
      <c r="L14" s="19">
        <f t="shared" si="5"/>
        <v>31227</v>
      </c>
      <c r="M14" s="19">
        <f t="shared" si="5"/>
        <v>25347</v>
      </c>
      <c r="N14" s="19">
        <f t="shared" si="5"/>
        <v>24645</v>
      </c>
      <c r="O14" s="19">
        <f t="shared" si="5"/>
        <v>24518</v>
      </c>
      <c r="P14" s="19">
        <f t="shared" si="5"/>
        <v>22710</v>
      </c>
      <c r="Q14" s="19">
        <f t="shared" si="5"/>
        <v>21100</v>
      </c>
      <c r="R14" s="19">
        <f t="shared" si="5"/>
        <v>18475</v>
      </c>
      <c r="S14" s="19">
        <f t="shared" si="5"/>
        <v>18097</v>
      </c>
      <c r="T14" s="19">
        <f t="shared" si="5"/>
        <v>13473</v>
      </c>
      <c r="U14" s="19">
        <f t="shared" si="5"/>
        <v>11602</v>
      </c>
      <c r="V14" s="19">
        <f t="shared" si="5"/>
        <v>10536</v>
      </c>
      <c r="W14" s="19">
        <f t="shared" si="5"/>
        <v>10086</v>
      </c>
      <c r="X14" s="19">
        <f t="shared" si="5"/>
        <v>9240</v>
      </c>
      <c r="Y14" s="19">
        <f t="shared" si="5"/>
        <v>9059</v>
      </c>
      <c r="Z14" s="19">
        <f t="shared" si="5"/>
        <v>6102</v>
      </c>
      <c r="AA14" s="19">
        <f t="shared" si="5"/>
        <v>5631</v>
      </c>
      <c r="AB14" s="19">
        <f t="shared" si="5"/>
        <v>5318</v>
      </c>
      <c r="AC14" s="19">
        <f t="shared" si="5"/>
        <v>5205</v>
      </c>
      <c r="AD14" s="19">
        <f t="shared" si="5"/>
        <v>3997</v>
      </c>
      <c r="AE14" s="19">
        <f t="shared" si="5"/>
        <v>2995</v>
      </c>
      <c r="AF14" s="19">
        <f t="shared" si="5"/>
        <v>1861</v>
      </c>
      <c r="AG14" s="19">
        <f t="shared" si="5"/>
        <v>1768</v>
      </c>
      <c r="AH14" s="19">
        <f t="shared" si="5"/>
        <v>913</v>
      </c>
      <c r="AI14" s="19">
        <f t="shared" si="5"/>
        <v>837</v>
      </c>
      <c r="AJ14" s="19">
        <f t="shared" si="5"/>
        <v>778</v>
      </c>
      <c r="AK14" s="19">
        <f t="shared" si="5"/>
        <v>351</v>
      </c>
      <c r="AL14" s="19">
        <f t="shared" si="5"/>
        <v>18431</v>
      </c>
      <c r="AM14" s="19">
        <f t="shared" si="5"/>
        <v>23199</v>
      </c>
      <c r="AN14" s="19">
        <f t="shared" si="5"/>
        <v>1373576</v>
      </c>
      <c r="AO14" s="19">
        <f t="shared" si="0"/>
        <v>3491078</v>
      </c>
      <c r="AP14" s="19">
        <f t="shared" si="1"/>
        <v>2075872</v>
      </c>
      <c r="AQ14" s="19">
        <f t="shared" si="2"/>
        <v>2117502</v>
      </c>
      <c r="AR14" s="20">
        <f t="shared" si="3"/>
        <v>1.9659957818221659E-2</v>
      </c>
      <c r="AS14" s="20">
        <f t="shared" si="4"/>
        <v>0.3934532542670201</v>
      </c>
    </row>
    <row r="15" spans="1:45" ht="26.75" customHeight="1" x14ac:dyDescent="0.2">
      <c r="A15" s="22" t="s">
        <v>21</v>
      </c>
      <c r="B15" s="20">
        <f t="shared" ref="B15:AK15" si="6">B14/$AP$14</f>
        <v>0.24819979266544373</v>
      </c>
      <c r="C15" s="20">
        <f t="shared" si="6"/>
        <v>0.15035609131969602</v>
      </c>
      <c r="D15" s="20">
        <f t="shared" si="6"/>
        <v>0.11414046723497402</v>
      </c>
      <c r="E15" s="20">
        <f t="shared" si="6"/>
        <v>0.1007162291316613</v>
      </c>
      <c r="F15" s="20">
        <f t="shared" si="6"/>
        <v>9.0599998458479131E-2</v>
      </c>
      <c r="G15" s="20">
        <f t="shared" si="6"/>
        <v>8.3319684450679041E-2</v>
      </c>
      <c r="H15" s="20">
        <f t="shared" si="6"/>
        <v>2.149554500470164E-2</v>
      </c>
      <c r="I15" s="20">
        <f t="shared" si="6"/>
        <v>2.0470915355089332E-2</v>
      </c>
      <c r="J15" s="20">
        <f t="shared" si="6"/>
        <v>1.7893203434508485E-2</v>
      </c>
      <c r="K15" s="20">
        <f t="shared" si="6"/>
        <v>1.5096788241278846E-2</v>
      </c>
      <c r="L15" s="20">
        <f t="shared" si="6"/>
        <v>1.5042835011021874E-2</v>
      </c>
      <c r="M15" s="20">
        <f t="shared" si="6"/>
        <v>1.2210290422530868E-2</v>
      </c>
      <c r="N15" s="20">
        <f t="shared" si="6"/>
        <v>1.1872119282884494E-2</v>
      </c>
      <c r="O15" s="20">
        <f t="shared" si="6"/>
        <v>1.1810940173575249E-2</v>
      </c>
      <c r="P15" s="20">
        <f t="shared" si="6"/>
        <v>1.093998088514128E-2</v>
      </c>
      <c r="Q15" s="20">
        <f t="shared" si="6"/>
        <v>1.0164403200197314E-2</v>
      </c>
      <c r="R15" s="20">
        <f t="shared" si="6"/>
        <v>8.8998743660495452E-3</v>
      </c>
      <c r="S15" s="20">
        <f t="shared" si="6"/>
        <v>8.7177822139322663E-3</v>
      </c>
      <c r="T15" s="20">
        <f t="shared" si="6"/>
        <v>6.4902845647515838E-3</v>
      </c>
      <c r="U15" s="20">
        <f t="shared" si="6"/>
        <v>5.5889765842980681E-3</v>
      </c>
      <c r="V15" s="20">
        <f t="shared" si="6"/>
        <v>5.075457446316536E-3</v>
      </c>
      <c r="W15" s="20">
        <f t="shared" si="6"/>
        <v>4.8586810747483465E-3</v>
      </c>
      <c r="X15" s="20">
        <f t="shared" si="6"/>
        <v>4.4511414962001509E-3</v>
      </c>
      <c r="Y15" s="20">
        <f t="shared" si="6"/>
        <v>4.3639492223027238E-3</v>
      </c>
      <c r="Z15" s="20">
        <f t="shared" si="6"/>
        <v>2.9394875984646452E-3</v>
      </c>
      <c r="AA15" s="20">
        <f t="shared" si="6"/>
        <v>2.712594996223274E-3</v>
      </c>
      <c r="AB15" s="20">
        <f t="shared" si="6"/>
        <v>2.5618149866658444E-3</v>
      </c>
      <c r="AC15" s="20">
        <f t="shared" si="6"/>
        <v>2.5073800311387214E-3</v>
      </c>
      <c r="AD15" s="20">
        <f t="shared" si="6"/>
        <v>1.9254559047956715E-3</v>
      </c>
      <c r="AE15" s="20">
        <f t="shared" si="6"/>
        <v>1.4427671841038367E-3</v>
      </c>
      <c r="AF15" s="20">
        <f t="shared" si="6"/>
        <v>8.9649072775200016E-4</v>
      </c>
      <c r="AG15" s="20">
        <f t="shared" si="6"/>
        <v>8.5169027762790764E-4</v>
      </c>
      <c r="AH15" s="20">
        <f t="shared" si="6"/>
        <v>4.3981517164834823E-4</v>
      </c>
      <c r="AI15" s="20">
        <f t="shared" si="6"/>
        <v>4.0320405111683185E-4</v>
      </c>
      <c r="AJ15" s="20">
        <f t="shared" si="6"/>
        <v>3.7478226017789148E-4</v>
      </c>
      <c r="AK15" s="20">
        <f t="shared" si="6"/>
        <v>1.6908556982318755E-4</v>
      </c>
    </row>
    <row r="16" spans="1:45" ht="26.75" customHeight="1" x14ac:dyDescent="0.2">
      <c r="A16" s="22" t="s">
        <v>22</v>
      </c>
      <c r="B16" s="20">
        <v>0.27279999999999999</v>
      </c>
      <c r="C16" s="20">
        <v>0.1678</v>
      </c>
      <c r="D16" s="20">
        <v>0.124</v>
      </c>
      <c r="E16" s="20">
        <v>0.14879999999999999</v>
      </c>
      <c r="F16" s="20">
        <v>0.124</v>
      </c>
      <c r="G16" s="20">
        <v>8.7300000000000003E-2</v>
      </c>
      <c r="H16" s="20">
        <v>6.6E-3</v>
      </c>
      <c r="I16" s="20">
        <v>5.3E-3</v>
      </c>
      <c r="J16" s="20">
        <v>5.5999999999999999E-3</v>
      </c>
      <c r="K16" s="20">
        <v>5.8999999999999999E-3</v>
      </c>
      <c r="L16" s="20">
        <v>5.7999999999999996E-3</v>
      </c>
      <c r="M16" s="20">
        <v>9.4999999999999998E-3</v>
      </c>
      <c r="N16" s="20">
        <v>3.2000000000000002E-3</v>
      </c>
      <c r="O16" s="20">
        <v>7.9000000000000008E-3</v>
      </c>
      <c r="P16" s="20">
        <v>1.4E-3</v>
      </c>
      <c r="Q16" s="20">
        <v>7.9000000000000008E-3</v>
      </c>
      <c r="R16" s="20">
        <v>2.7000000000000001E-3</v>
      </c>
      <c r="S16" s="20">
        <v>3.2000000000000002E-3</v>
      </c>
      <c r="T16" s="20">
        <v>6.9999999999999999E-4</v>
      </c>
      <c r="U16" s="20">
        <v>1E-3</v>
      </c>
      <c r="V16" s="20">
        <v>2.2000000000000001E-3</v>
      </c>
      <c r="W16" s="20">
        <v>0</v>
      </c>
      <c r="X16" s="20">
        <v>1.6000000000000001E-3</v>
      </c>
      <c r="Y16" s="20">
        <v>0</v>
      </c>
      <c r="Z16" s="20">
        <v>6.9999999999999999E-4</v>
      </c>
      <c r="AA16" s="20">
        <v>8.9999999999999998E-4</v>
      </c>
      <c r="AB16" s="20">
        <v>3.2000000000000002E-3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</row>
    <row r="17" spans="1:38" ht="26.75" customHeight="1" x14ac:dyDescent="0.2">
      <c r="A17" s="22" t="s">
        <v>23</v>
      </c>
      <c r="B17" s="23" t="str">
        <f t="shared" ref="B17:AK17" si="7">B6</f>
        <v>LIBERACIÓN NACIONAL</v>
      </c>
      <c r="C17" s="23" t="str">
        <f t="shared" si="7"/>
        <v>PROGRESO SOCIAL DEMOCRÁTICO</v>
      </c>
      <c r="D17" s="23" t="str">
        <f t="shared" si="7"/>
        <v>UNIDAD SOCIAL CRISTIANA</v>
      </c>
      <c r="E17" s="23" t="str">
        <f t="shared" si="7"/>
        <v>NUEVA REPÚBLICA</v>
      </c>
      <c r="F17" s="23" t="str">
        <f t="shared" si="7"/>
        <v>LIBERAL PROGRESISTA</v>
      </c>
      <c r="G17" s="23" t="str">
        <f t="shared" si="7"/>
        <v>FRENTE AMPLIO</v>
      </c>
      <c r="H17" s="23" t="str">
        <f t="shared" si="7"/>
        <v>ACCIÓN CIUDADANA</v>
      </c>
      <c r="I17" s="23" t="str">
        <f t="shared" si="7"/>
        <v>RESTAURACIÓN NACIONAL</v>
      </c>
      <c r="J17" s="23" t="str">
        <f t="shared" si="7"/>
        <v>NUEVA GENERACIÓN</v>
      </c>
      <c r="K17" s="23" t="str">
        <f t="shared" si="7"/>
        <v>ACCESIBILIDAD SIN EXCLUSIÓN</v>
      </c>
      <c r="L17" s="23" t="str">
        <f t="shared" si="7"/>
        <v>REPUBLICANO SOCIAL CRISTIANO</v>
      </c>
      <c r="M17" s="23" t="str">
        <f t="shared" si="7"/>
        <v>COSTA RICA JUSTA</v>
      </c>
      <c r="N17" s="23" t="str">
        <f t="shared" si="7"/>
        <v>UNIÓN LIBERAL</v>
      </c>
      <c r="O17" s="23" t="str">
        <f t="shared" si="7"/>
        <v>FUERZA NACIONAL</v>
      </c>
      <c r="P17" s="23" t="str">
        <f t="shared" si="7"/>
        <v>INTEGRACIÓN NACIONAL</v>
      </c>
      <c r="Q17" s="23" t="str">
        <f t="shared" si="7"/>
        <v>UNIDOS PODEMOS</v>
      </c>
      <c r="R17" s="23" t="str">
        <f t="shared" si="7"/>
        <v>ALIANZA DEMÓCRATA CRISTIANA</v>
      </c>
      <c r="S17" s="23" t="str">
        <f t="shared" si="7"/>
        <v>JUSTICIA SOCIAL COSTARRICENSE</v>
      </c>
      <c r="T17" s="23" t="str">
        <f t="shared" si="7"/>
        <v>MOVIMIENTO LIBERTARIO</v>
      </c>
      <c r="U17" s="23" t="str">
        <f t="shared" si="7"/>
        <v>MOVIMIENTO SOCIAL DEMÓCRATA COSTARRICENSE</v>
      </c>
      <c r="V17" s="23" t="str">
        <f t="shared" si="7"/>
        <v>ENCUENTRO NACIONAL</v>
      </c>
      <c r="W17" s="23" t="str">
        <f t="shared" si="7"/>
        <v>UNIÓN GUANACASTECA</v>
      </c>
      <c r="X17" s="23" t="str">
        <f t="shared" si="7"/>
        <v>NUESTRO PUEBLO</v>
      </c>
      <c r="Y17" s="23" t="str">
        <f t="shared" si="7"/>
        <v>RECUPERANDO VALORES</v>
      </c>
      <c r="Z17" s="23" t="str">
        <f t="shared" si="7"/>
        <v>PUEBLO UNIDO</v>
      </c>
      <c r="AA17" s="23" t="str">
        <f t="shared" si="7"/>
        <v>DE LOS TRABAJADORES</v>
      </c>
      <c r="AB17" s="23" t="str">
        <f t="shared" si="7"/>
        <v>UNIÓN COSTARRICENSE DEMOCRÁTICA</v>
      </c>
      <c r="AC17" s="23" t="str">
        <f t="shared" si="7"/>
        <v>VAMOS</v>
      </c>
      <c r="AD17" s="23" t="str">
        <f t="shared" si="7"/>
        <v>SOMOS</v>
      </c>
      <c r="AE17" s="23" t="str">
        <f t="shared" si="7"/>
        <v>RENOVACIÓN CARTAGO</v>
      </c>
      <c r="AF17" s="23" t="str">
        <f t="shared" si="7"/>
        <v>ACTUEMOS YA</v>
      </c>
      <c r="AG17" s="23" t="str">
        <f t="shared" si="7"/>
        <v>ANTICORRUPCIÓN COSTARRICENSE</v>
      </c>
      <c r="AH17" s="23" t="str">
        <f t="shared" si="7"/>
        <v>UNIDOS POR COSTA RICA</v>
      </c>
      <c r="AI17" s="23" t="str">
        <f t="shared" si="7"/>
        <v>NUEVO PARTIDO SOCIALISTA-CARTAGO</v>
      </c>
      <c r="AJ17" s="23" t="str">
        <f t="shared" si="7"/>
        <v>NUEVO PARTIDO SOCIALISTA</v>
      </c>
      <c r="AK17" s="23" t="str">
        <f t="shared" si="7"/>
        <v>IZQUIERDA COSTARRICENSE</v>
      </c>
      <c r="AL17" s="22" t="s">
        <v>24</v>
      </c>
    </row>
    <row r="18" spans="1:38" ht="26.75" customHeight="1" x14ac:dyDescent="0.2">
      <c r="A18" s="22" t="s">
        <v>13</v>
      </c>
      <c r="B18" s="21">
        <v>3</v>
      </c>
      <c r="C18" s="21">
        <v>2</v>
      </c>
      <c r="D18" s="21">
        <v>2</v>
      </c>
      <c r="E18" s="21">
        <v>2</v>
      </c>
      <c r="F18" s="21">
        <v>1</v>
      </c>
      <c r="G18" s="21">
        <v>1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19">
        <f t="shared" ref="AL18:AL24" si="8">SUM(B18:AK18)</f>
        <v>11</v>
      </c>
    </row>
    <row r="19" spans="1:38" ht="26.75" customHeight="1" x14ac:dyDescent="0.2">
      <c r="A19" s="22" t="s">
        <v>14</v>
      </c>
      <c r="B19" s="21">
        <v>3</v>
      </c>
      <c r="C19" s="21">
        <v>1</v>
      </c>
      <c r="D19" s="21">
        <v>1</v>
      </c>
      <c r="E19" s="21">
        <v>0</v>
      </c>
      <c r="F19" s="21">
        <v>1</v>
      </c>
      <c r="G19" s="21">
        <v>1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19">
        <f t="shared" si="8"/>
        <v>7</v>
      </c>
    </row>
    <row r="20" spans="1:38" ht="26.75" customHeight="1" x14ac:dyDescent="0.2">
      <c r="A20" s="22" t="s">
        <v>15</v>
      </c>
      <c r="B20" s="21">
        <v>2</v>
      </c>
      <c r="C20" s="21">
        <v>1</v>
      </c>
      <c r="D20" s="21">
        <v>1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19">
        <f t="shared" si="8"/>
        <v>4</v>
      </c>
    </row>
    <row r="21" spans="1:38" ht="26.75" customHeight="1" x14ac:dyDescent="0.2">
      <c r="A21" s="22" t="s">
        <v>16</v>
      </c>
      <c r="B21" s="21">
        <v>2</v>
      </c>
      <c r="C21" s="21">
        <v>1</v>
      </c>
      <c r="D21" s="21">
        <v>1</v>
      </c>
      <c r="E21" s="21">
        <v>0</v>
      </c>
      <c r="F21" s="21">
        <v>1</v>
      </c>
      <c r="G21" s="21">
        <v>1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19">
        <f t="shared" si="8"/>
        <v>6</v>
      </c>
    </row>
    <row r="22" spans="1:38" ht="26.75" customHeight="1" x14ac:dyDescent="0.2">
      <c r="A22" s="22" t="s">
        <v>17</v>
      </c>
      <c r="B22" s="21">
        <v>2</v>
      </c>
      <c r="C22" s="21">
        <v>0</v>
      </c>
      <c r="D22" s="21">
        <v>1</v>
      </c>
      <c r="E22" s="21">
        <v>2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19">
        <f t="shared" si="8"/>
        <v>5</v>
      </c>
    </row>
    <row r="23" spans="1:38" ht="26.75" customHeight="1" x14ac:dyDescent="0.2">
      <c r="A23" s="22" t="s">
        <v>18</v>
      </c>
      <c r="B23" s="21">
        <v>2</v>
      </c>
      <c r="C23" s="21">
        <v>1</v>
      </c>
      <c r="D23" s="21">
        <v>1</v>
      </c>
      <c r="E23" s="21">
        <v>1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19">
        <f t="shared" si="8"/>
        <v>5</v>
      </c>
    </row>
    <row r="24" spans="1:38" ht="26.75" customHeight="1" x14ac:dyDescent="0.2">
      <c r="A24" s="22" t="s">
        <v>19</v>
      </c>
      <c r="B24" s="21">
        <v>5</v>
      </c>
      <c r="C24" s="21">
        <v>4</v>
      </c>
      <c r="D24" s="21">
        <v>2</v>
      </c>
      <c r="E24" s="21">
        <v>2</v>
      </c>
      <c r="F24" s="21">
        <v>3</v>
      </c>
      <c r="G24" s="21">
        <v>3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19">
        <f t="shared" si="8"/>
        <v>19</v>
      </c>
    </row>
    <row r="25" spans="1:38" ht="26.75" customHeight="1" x14ac:dyDescent="0.2">
      <c r="A25" s="18"/>
      <c r="B25" s="19">
        <f t="shared" ref="B25:AL25" si="9">SUM(B18:B24)</f>
        <v>19</v>
      </c>
      <c r="C25" s="19">
        <f t="shared" si="9"/>
        <v>10</v>
      </c>
      <c r="D25" s="19">
        <f t="shared" si="9"/>
        <v>9</v>
      </c>
      <c r="E25" s="19">
        <f t="shared" si="9"/>
        <v>7</v>
      </c>
      <c r="F25" s="19">
        <f t="shared" si="9"/>
        <v>6</v>
      </c>
      <c r="G25" s="19">
        <f t="shared" si="9"/>
        <v>6</v>
      </c>
      <c r="H25" s="19">
        <f t="shared" si="9"/>
        <v>0</v>
      </c>
      <c r="I25" s="19">
        <f t="shared" si="9"/>
        <v>0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0</v>
      </c>
      <c r="W25" s="19">
        <f t="shared" si="9"/>
        <v>0</v>
      </c>
      <c r="X25" s="19">
        <f t="shared" si="9"/>
        <v>0</v>
      </c>
      <c r="Y25" s="19">
        <f t="shared" si="9"/>
        <v>0</v>
      </c>
      <c r="Z25" s="19">
        <f t="shared" si="9"/>
        <v>0</v>
      </c>
      <c r="AA25" s="19">
        <f t="shared" si="9"/>
        <v>0</v>
      </c>
      <c r="AB25" s="19">
        <f t="shared" si="9"/>
        <v>0</v>
      </c>
      <c r="AC25" s="19">
        <f t="shared" si="9"/>
        <v>0</v>
      </c>
      <c r="AD25" s="19">
        <f t="shared" si="9"/>
        <v>0</v>
      </c>
      <c r="AE25" s="19">
        <f t="shared" si="9"/>
        <v>0</v>
      </c>
      <c r="AF25" s="19">
        <f t="shared" si="9"/>
        <v>0</v>
      </c>
      <c r="AG25" s="19">
        <f t="shared" si="9"/>
        <v>0</v>
      </c>
      <c r="AH25" s="19">
        <f t="shared" si="9"/>
        <v>0</v>
      </c>
      <c r="AI25" s="19">
        <f t="shared" si="9"/>
        <v>0</v>
      </c>
      <c r="AJ25" s="19">
        <f t="shared" si="9"/>
        <v>0</v>
      </c>
      <c r="AK25" s="19">
        <f t="shared" si="9"/>
        <v>0</v>
      </c>
      <c r="AL25" s="19">
        <f t="shared" si="9"/>
        <v>57</v>
      </c>
    </row>
  </sheetData>
  <mergeCells count="1">
    <mergeCell ref="A5:AS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5:AG25"/>
  <sheetViews>
    <sheetView tabSelected="1" workbookViewId="0"/>
  </sheetViews>
  <sheetFormatPr baseColWidth="10" defaultColWidth="8.83203125" defaultRowHeight="16" x14ac:dyDescent="0.2"/>
  <cols>
    <col min="1" max="1" width="25.5" customWidth="1"/>
    <col min="2" max="25" width="26.1640625" customWidth="1"/>
    <col min="26" max="26" width="24.6640625" customWidth="1"/>
    <col min="27" max="29" width="18.6640625" customWidth="1"/>
    <col min="30" max="30" width="16.6640625" customWidth="1"/>
    <col min="31" max="31" width="19" customWidth="1"/>
    <col min="32" max="32" width="17.6640625" customWidth="1"/>
    <col min="33" max="33" width="23.1640625" customWidth="1"/>
  </cols>
  <sheetData>
    <row r="5" spans="1:33" ht="42.75" customHeight="1" x14ac:dyDescent="0.2">
      <c r="A5" s="32">
        <v>2026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</row>
    <row r="6" spans="1:33" ht="26.75" customHeight="1" x14ac:dyDescent="0.2">
      <c r="A6" s="22" t="s">
        <v>0</v>
      </c>
      <c r="B6" s="26" t="s">
        <v>161</v>
      </c>
      <c r="C6" s="26" t="s">
        <v>1</v>
      </c>
      <c r="D6" s="26" t="s">
        <v>106</v>
      </c>
      <c r="E6" s="26" t="s">
        <v>162</v>
      </c>
      <c r="F6" s="26" t="s">
        <v>77</v>
      </c>
      <c r="G6" s="26" t="s">
        <v>145</v>
      </c>
      <c r="H6" s="26" t="s">
        <v>163</v>
      </c>
      <c r="I6" s="26" t="s">
        <v>149</v>
      </c>
      <c r="J6" s="26" t="s">
        <v>136</v>
      </c>
      <c r="K6" s="26" t="s">
        <v>164</v>
      </c>
      <c r="L6" s="26" t="s">
        <v>135</v>
      </c>
      <c r="M6" s="26" t="s">
        <v>140</v>
      </c>
      <c r="N6" s="26" t="s">
        <v>144</v>
      </c>
      <c r="O6" s="26" t="s">
        <v>124</v>
      </c>
      <c r="P6" s="26" t="s">
        <v>89</v>
      </c>
      <c r="Q6" s="26" t="s">
        <v>150</v>
      </c>
      <c r="R6" s="26" t="s">
        <v>165</v>
      </c>
      <c r="S6" s="26" t="s">
        <v>166</v>
      </c>
      <c r="T6" s="26" t="s">
        <v>154</v>
      </c>
      <c r="U6" s="26" t="s">
        <v>167</v>
      </c>
      <c r="V6" s="26" t="s">
        <v>168</v>
      </c>
      <c r="W6" s="26" t="s">
        <v>169</v>
      </c>
      <c r="X6" s="26" t="s">
        <v>157</v>
      </c>
      <c r="Y6" s="26" t="s">
        <v>170</v>
      </c>
      <c r="Z6" s="23" t="s">
        <v>5</v>
      </c>
      <c r="AA6" s="23" t="s">
        <v>6</v>
      </c>
      <c r="AB6" s="23" t="s">
        <v>7</v>
      </c>
      <c r="AC6" s="22" t="s">
        <v>8</v>
      </c>
      <c r="AD6" s="22" t="s">
        <v>9</v>
      </c>
      <c r="AE6" s="22" t="s">
        <v>10</v>
      </c>
      <c r="AF6" s="22" t="s">
        <v>11</v>
      </c>
      <c r="AG6" s="22" t="s">
        <v>12</v>
      </c>
    </row>
    <row r="7" spans="1:33" ht="26.75" customHeight="1" x14ac:dyDescent="0.2">
      <c r="A7" s="24" t="s">
        <v>13</v>
      </c>
      <c r="B7" s="28">
        <v>269708</v>
      </c>
      <c r="C7" s="28">
        <v>116984</v>
      </c>
      <c r="D7" s="28">
        <v>55524</v>
      </c>
      <c r="E7" s="28">
        <v>13644</v>
      </c>
      <c r="F7" s="28">
        <v>17616</v>
      </c>
      <c r="G7" s="28">
        <v>12567</v>
      </c>
      <c r="H7" s="28">
        <v>8378</v>
      </c>
      <c r="I7" s="28">
        <v>3951</v>
      </c>
      <c r="J7" s="28">
        <v>0</v>
      </c>
      <c r="K7" s="28">
        <v>0</v>
      </c>
      <c r="L7" s="28">
        <v>2812</v>
      </c>
      <c r="M7" s="28">
        <v>0</v>
      </c>
      <c r="N7" s="28">
        <v>2394</v>
      </c>
      <c r="O7" s="28">
        <v>2343</v>
      </c>
      <c r="P7" s="28">
        <v>1543</v>
      </c>
      <c r="Q7" s="28">
        <v>953</v>
      </c>
      <c r="R7" s="28">
        <v>1544</v>
      </c>
      <c r="S7" s="28">
        <v>942</v>
      </c>
      <c r="T7" s="28">
        <v>891</v>
      </c>
      <c r="U7" s="28">
        <v>710</v>
      </c>
      <c r="V7" s="28">
        <v>2779</v>
      </c>
      <c r="W7" s="28">
        <v>744</v>
      </c>
      <c r="X7" s="28">
        <v>0</v>
      </c>
      <c r="Y7" s="28">
        <v>659</v>
      </c>
      <c r="Z7" s="25">
        <v>1837</v>
      </c>
      <c r="AA7" s="21">
        <v>2966</v>
      </c>
      <c r="AB7" s="21">
        <v>202154</v>
      </c>
      <c r="AC7" s="19">
        <f t="shared" ref="AC7:AC14" si="0">SUM(B7:AB7)</f>
        <v>723643</v>
      </c>
      <c r="AD7" s="19">
        <f t="shared" ref="AD7:AD14" si="1">SUM(B7:Y7)</f>
        <v>516686</v>
      </c>
      <c r="AE7" s="19">
        <f t="shared" ref="AE7:AE14" si="2">SUM(B7:AA7)</f>
        <v>521489</v>
      </c>
      <c r="AF7" s="20">
        <f t="shared" ref="AF7:AF14" si="3">(AE7-AD7)/AE7</f>
        <v>9.210165506846741E-3</v>
      </c>
      <c r="AG7" s="20">
        <f t="shared" ref="AG7:AG14" si="4">AB7/AC7</f>
        <v>0.27935598078057827</v>
      </c>
    </row>
    <row r="8" spans="1:33" ht="26.75" customHeight="1" x14ac:dyDescent="0.2">
      <c r="A8" s="24" t="s">
        <v>14</v>
      </c>
      <c r="B8" s="28">
        <v>111325</v>
      </c>
      <c r="C8" s="28">
        <v>89895</v>
      </c>
      <c r="D8" s="28">
        <v>43515</v>
      </c>
      <c r="E8" s="28">
        <v>18193</v>
      </c>
      <c r="F8" s="28">
        <v>12615</v>
      </c>
      <c r="G8" s="28">
        <v>4728</v>
      </c>
      <c r="H8" s="28">
        <v>5487</v>
      </c>
      <c r="I8" s="28">
        <v>6930</v>
      </c>
      <c r="J8" s="28">
        <v>12612</v>
      </c>
      <c r="K8" s="28">
        <v>0</v>
      </c>
      <c r="L8" s="28">
        <v>2234</v>
      </c>
      <c r="M8" s="28">
        <v>0</v>
      </c>
      <c r="N8" s="28">
        <v>2381</v>
      </c>
      <c r="O8" s="28">
        <v>3099</v>
      </c>
      <c r="P8" s="28">
        <v>908</v>
      </c>
      <c r="Q8" s="28">
        <v>855</v>
      </c>
      <c r="R8" s="28">
        <v>786</v>
      </c>
      <c r="S8" s="28">
        <v>1000</v>
      </c>
      <c r="T8" s="28">
        <v>421</v>
      </c>
      <c r="U8" s="28">
        <v>497</v>
      </c>
      <c r="V8" s="28">
        <v>723</v>
      </c>
      <c r="W8" s="28">
        <v>437</v>
      </c>
      <c r="X8" s="28">
        <v>0</v>
      </c>
      <c r="Y8" s="28">
        <v>837</v>
      </c>
      <c r="Z8" s="25">
        <v>1220</v>
      </c>
      <c r="AA8" s="21">
        <v>2487</v>
      </c>
      <c r="AB8" s="21">
        <v>105629</v>
      </c>
      <c r="AC8" s="19">
        <f t="shared" si="0"/>
        <v>428814</v>
      </c>
      <c r="AD8" s="19">
        <f t="shared" si="1"/>
        <v>319478</v>
      </c>
      <c r="AE8" s="19">
        <f t="shared" si="2"/>
        <v>323185</v>
      </c>
      <c r="AF8" s="20">
        <f t="shared" si="3"/>
        <v>1.1470210560514876E-2</v>
      </c>
      <c r="AG8" s="20">
        <f t="shared" si="4"/>
        <v>0.24632824488006455</v>
      </c>
    </row>
    <row r="9" spans="1:33" ht="26.75" customHeight="1" x14ac:dyDescent="0.2">
      <c r="A9" s="24" t="s">
        <v>15</v>
      </c>
      <c r="B9" s="28">
        <v>87950</v>
      </c>
      <c r="C9" s="28">
        <v>32155</v>
      </c>
      <c r="D9" s="28">
        <v>9995</v>
      </c>
      <c r="E9" s="28">
        <v>5945</v>
      </c>
      <c r="F9" s="28">
        <v>9643</v>
      </c>
      <c r="G9" s="28">
        <v>4089</v>
      </c>
      <c r="H9" s="28">
        <v>3771</v>
      </c>
      <c r="I9" s="28">
        <v>2045</v>
      </c>
      <c r="J9" s="28">
        <v>0</v>
      </c>
      <c r="K9" s="28">
        <v>0</v>
      </c>
      <c r="L9" s="28">
        <v>1206</v>
      </c>
      <c r="M9" s="28">
        <v>5637</v>
      </c>
      <c r="N9" s="28">
        <v>1829</v>
      </c>
      <c r="O9" s="28">
        <v>5364</v>
      </c>
      <c r="P9" s="28">
        <v>604</v>
      </c>
      <c r="Q9" s="28">
        <v>568</v>
      </c>
      <c r="R9" s="28">
        <v>535</v>
      </c>
      <c r="S9" s="28">
        <v>350</v>
      </c>
      <c r="T9" s="28">
        <v>497</v>
      </c>
      <c r="U9" s="28">
        <v>208</v>
      </c>
      <c r="V9" s="28">
        <v>201</v>
      </c>
      <c r="W9" s="28">
        <v>577</v>
      </c>
      <c r="X9" s="28">
        <v>0</v>
      </c>
      <c r="Y9" s="28">
        <v>1063</v>
      </c>
      <c r="Z9" s="25">
        <v>939</v>
      </c>
      <c r="AA9" s="21">
        <v>1636</v>
      </c>
      <c r="AB9" s="21">
        <v>101705</v>
      </c>
      <c r="AC9" s="19">
        <f t="shared" si="0"/>
        <v>278512</v>
      </c>
      <c r="AD9" s="19">
        <f t="shared" si="1"/>
        <v>174232</v>
      </c>
      <c r="AE9" s="19">
        <f t="shared" si="2"/>
        <v>176807</v>
      </c>
      <c r="AF9" s="20">
        <f t="shared" si="3"/>
        <v>1.4563903012889762E-2</v>
      </c>
      <c r="AG9" s="20">
        <f t="shared" si="4"/>
        <v>0.36517277532027348</v>
      </c>
    </row>
    <row r="10" spans="1:33" ht="26.75" customHeight="1" x14ac:dyDescent="0.2">
      <c r="A10" s="24" t="s">
        <v>16</v>
      </c>
      <c r="B10" s="28">
        <v>114754</v>
      </c>
      <c r="C10" s="28">
        <v>75062</v>
      </c>
      <c r="D10" s="28">
        <v>46202</v>
      </c>
      <c r="E10" s="28">
        <v>13805</v>
      </c>
      <c r="F10" s="28">
        <v>10249</v>
      </c>
      <c r="G10" s="28">
        <v>6222</v>
      </c>
      <c r="H10" s="28">
        <v>5441</v>
      </c>
      <c r="I10" s="28">
        <v>2461</v>
      </c>
      <c r="J10" s="28">
        <v>0</v>
      </c>
      <c r="K10" s="28">
        <v>0</v>
      </c>
      <c r="L10" s="28">
        <v>2387</v>
      </c>
      <c r="M10" s="28">
        <v>0</v>
      </c>
      <c r="N10" s="28">
        <v>1361</v>
      </c>
      <c r="O10" s="28">
        <v>775</v>
      </c>
      <c r="P10" s="28">
        <v>757</v>
      </c>
      <c r="Q10" s="28">
        <v>709</v>
      </c>
      <c r="R10" s="28">
        <v>838</v>
      </c>
      <c r="S10" s="28">
        <v>581</v>
      </c>
      <c r="T10" s="28">
        <v>309</v>
      </c>
      <c r="U10" s="28">
        <v>492</v>
      </c>
      <c r="V10" s="28">
        <v>408</v>
      </c>
      <c r="W10" s="28">
        <v>262</v>
      </c>
      <c r="X10" s="28">
        <v>0</v>
      </c>
      <c r="Y10" s="28">
        <v>984</v>
      </c>
      <c r="Z10" s="25">
        <v>636</v>
      </c>
      <c r="AA10" s="21">
        <v>1414</v>
      </c>
      <c r="AB10" s="21">
        <v>91682</v>
      </c>
      <c r="AC10" s="19">
        <f t="shared" si="0"/>
        <v>377791</v>
      </c>
      <c r="AD10" s="19">
        <f t="shared" si="1"/>
        <v>284059</v>
      </c>
      <c r="AE10" s="19">
        <f t="shared" si="2"/>
        <v>286109</v>
      </c>
      <c r="AF10" s="20">
        <f t="shared" si="3"/>
        <v>7.1651014123987715E-3</v>
      </c>
      <c r="AG10" s="20">
        <f t="shared" si="4"/>
        <v>0.24267915328845843</v>
      </c>
    </row>
    <row r="11" spans="1:33" ht="26.75" customHeight="1" x14ac:dyDescent="0.2">
      <c r="A11" s="24" t="s">
        <v>17</v>
      </c>
      <c r="B11" s="28">
        <v>105466</v>
      </c>
      <c r="C11" s="28">
        <v>27820</v>
      </c>
      <c r="D11" s="28">
        <v>9525</v>
      </c>
      <c r="E11" s="28">
        <v>4350</v>
      </c>
      <c r="F11" s="28">
        <v>13644</v>
      </c>
      <c r="G11" s="28">
        <v>5911</v>
      </c>
      <c r="H11" s="28">
        <v>1615</v>
      </c>
      <c r="I11" s="28">
        <v>5184</v>
      </c>
      <c r="J11" s="28">
        <v>0</v>
      </c>
      <c r="K11" s="28">
        <v>0</v>
      </c>
      <c r="L11" s="28">
        <v>1224</v>
      </c>
      <c r="M11" s="28">
        <v>0</v>
      </c>
      <c r="N11" s="28">
        <v>1651</v>
      </c>
      <c r="O11" s="28">
        <v>1264</v>
      </c>
      <c r="P11" s="28">
        <v>475</v>
      </c>
      <c r="Q11" s="28">
        <v>2393</v>
      </c>
      <c r="R11" s="28">
        <v>787</v>
      </c>
      <c r="S11" s="28">
        <v>500</v>
      </c>
      <c r="T11" s="28">
        <v>473</v>
      </c>
      <c r="U11" s="28">
        <v>720</v>
      </c>
      <c r="V11" s="28">
        <v>417</v>
      </c>
      <c r="W11" s="28">
        <v>452</v>
      </c>
      <c r="X11" s="28">
        <v>0</v>
      </c>
      <c r="Y11" s="28">
        <v>1418</v>
      </c>
      <c r="Z11" s="25">
        <v>1062</v>
      </c>
      <c r="AA11" s="21">
        <v>2117</v>
      </c>
      <c r="AB11" s="21">
        <v>125217</v>
      </c>
      <c r="AC11" s="19">
        <f t="shared" si="0"/>
        <v>313685</v>
      </c>
      <c r="AD11" s="19">
        <f t="shared" si="1"/>
        <v>185289</v>
      </c>
      <c r="AE11" s="19">
        <f t="shared" si="2"/>
        <v>188468</v>
      </c>
      <c r="AF11" s="20">
        <f t="shared" si="3"/>
        <v>1.6867584948107903E-2</v>
      </c>
      <c r="AG11" s="20">
        <f t="shared" si="4"/>
        <v>0.3991807067599662</v>
      </c>
    </row>
    <row r="12" spans="1:33" ht="26.75" customHeight="1" x14ac:dyDescent="0.2">
      <c r="A12" s="24" t="s">
        <v>18</v>
      </c>
      <c r="B12" s="28">
        <v>123860</v>
      </c>
      <c r="C12" s="28">
        <v>33262</v>
      </c>
      <c r="D12" s="28">
        <v>13040</v>
      </c>
      <c r="E12" s="28">
        <v>4116</v>
      </c>
      <c r="F12" s="28">
        <v>11200</v>
      </c>
      <c r="G12" s="28">
        <v>7774</v>
      </c>
      <c r="H12" s="28">
        <v>1868</v>
      </c>
      <c r="I12" s="28">
        <v>1787</v>
      </c>
      <c r="J12" s="28">
        <v>0</v>
      </c>
      <c r="K12" s="28">
        <v>0</v>
      </c>
      <c r="L12" s="28">
        <v>1812</v>
      </c>
      <c r="M12" s="28">
        <v>0</v>
      </c>
      <c r="N12" s="28">
        <v>1164</v>
      </c>
      <c r="O12" s="28">
        <v>1228</v>
      </c>
      <c r="P12" s="28">
        <v>791</v>
      </c>
      <c r="Q12" s="28">
        <v>477</v>
      </c>
      <c r="R12" s="28">
        <v>1612</v>
      </c>
      <c r="S12" s="28">
        <v>515</v>
      </c>
      <c r="T12" s="28">
        <v>738</v>
      </c>
      <c r="U12" s="28">
        <v>662</v>
      </c>
      <c r="V12" s="28">
        <v>511</v>
      </c>
      <c r="W12" s="28">
        <v>486</v>
      </c>
      <c r="X12" s="28">
        <v>0</v>
      </c>
      <c r="Y12" s="28">
        <v>1789</v>
      </c>
      <c r="Z12" s="25">
        <v>1115</v>
      </c>
      <c r="AA12" s="21">
        <v>1923</v>
      </c>
      <c r="AB12" s="21">
        <v>139293</v>
      </c>
      <c r="AC12" s="19">
        <f t="shared" si="0"/>
        <v>351023</v>
      </c>
      <c r="AD12" s="19">
        <f t="shared" si="1"/>
        <v>208692</v>
      </c>
      <c r="AE12" s="19">
        <f t="shared" si="2"/>
        <v>211730</v>
      </c>
      <c r="AF12" s="20">
        <f t="shared" si="3"/>
        <v>1.4348462664714495E-2</v>
      </c>
      <c r="AG12" s="20">
        <f t="shared" si="4"/>
        <v>0.3968201513860915</v>
      </c>
    </row>
    <row r="13" spans="1:33" ht="26.75" customHeight="1" x14ac:dyDescent="0.2">
      <c r="A13" s="24" t="s">
        <v>19</v>
      </c>
      <c r="B13" s="28">
        <v>337084</v>
      </c>
      <c r="C13" s="28">
        <v>216426</v>
      </c>
      <c r="D13" s="28">
        <v>136067</v>
      </c>
      <c r="E13" s="28">
        <v>43507</v>
      </c>
      <c r="F13" s="28">
        <v>40168</v>
      </c>
      <c r="G13" s="28">
        <v>21412</v>
      </c>
      <c r="H13" s="28">
        <v>17326</v>
      </c>
      <c r="I13" s="28">
        <v>8063</v>
      </c>
      <c r="J13" s="28">
        <v>0</v>
      </c>
      <c r="K13" s="28">
        <v>7842</v>
      </c>
      <c r="L13" s="28">
        <v>5851</v>
      </c>
      <c r="M13" s="28">
        <v>0</v>
      </c>
      <c r="N13" s="28">
        <v>4052</v>
      </c>
      <c r="O13" s="28">
        <v>3685</v>
      </c>
      <c r="P13" s="28">
        <v>2217</v>
      </c>
      <c r="Q13" s="28">
        <v>1960</v>
      </c>
      <c r="R13" s="28">
        <v>1987</v>
      </c>
      <c r="S13" s="28">
        <v>1941</v>
      </c>
      <c r="T13" s="28">
        <v>1345</v>
      </c>
      <c r="U13" s="28">
        <v>1060</v>
      </c>
      <c r="V13" s="28">
        <v>1279</v>
      </c>
      <c r="W13" s="28">
        <v>1050</v>
      </c>
      <c r="X13" s="28">
        <v>1040</v>
      </c>
      <c r="Y13" s="28">
        <v>828</v>
      </c>
      <c r="Z13" s="25">
        <v>2183</v>
      </c>
      <c r="AA13" s="21">
        <v>4448</v>
      </c>
      <c r="AB13" s="21">
        <v>328233</v>
      </c>
      <c r="AC13" s="19">
        <f t="shared" si="0"/>
        <v>1191054</v>
      </c>
      <c r="AD13" s="19">
        <f t="shared" si="1"/>
        <v>856190</v>
      </c>
      <c r="AE13" s="19">
        <f t="shared" si="2"/>
        <v>862821</v>
      </c>
      <c r="AF13" s="20">
        <f t="shared" si="3"/>
        <v>7.6852556903459698E-3</v>
      </c>
      <c r="AG13" s="20">
        <f t="shared" si="4"/>
        <v>0.2755819635381771</v>
      </c>
    </row>
    <row r="14" spans="1:33" ht="26.75" customHeight="1" x14ac:dyDescent="0.2">
      <c r="A14" s="22" t="s">
        <v>20</v>
      </c>
      <c r="B14" s="27">
        <f t="shared" ref="B14:AB14" si="5">SUM(B7:B13)</f>
        <v>1150147</v>
      </c>
      <c r="C14" s="27">
        <f t="shared" si="5"/>
        <v>591604</v>
      </c>
      <c r="D14" s="27">
        <f t="shared" si="5"/>
        <v>313868</v>
      </c>
      <c r="E14" s="27">
        <f t="shared" si="5"/>
        <v>103560</v>
      </c>
      <c r="F14" s="27">
        <f t="shared" si="5"/>
        <v>115135</v>
      </c>
      <c r="G14" s="27">
        <f t="shared" si="5"/>
        <v>62703</v>
      </c>
      <c r="H14" s="27">
        <f t="shared" si="5"/>
        <v>43886</v>
      </c>
      <c r="I14" s="27">
        <f t="shared" si="5"/>
        <v>30421</v>
      </c>
      <c r="J14" s="27">
        <f t="shared" si="5"/>
        <v>12612</v>
      </c>
      <c r="K14" s="27">
        <f t="shared" si="5"/>
        <v>7842</v>
      </c>
      <c r="L14" s="27">
        <f t="shared" si="5"/>
        <v>17526</v>
      </c>
      <c r="M14" s="27">
        <f t="shared" si="5"/>
        <v>5637</v>
      </c>
      <c r="N14" s="27">
        <f t="shared" si="5"/>
        <v>14832</v>
      </c>
      <c r="O14" s="27">
        <f t="shared" si="5"/>
        <v>17758</v>
      </c>
      <c r="P14" s="27">
        <f t="shared" si="5"/>
        <v>7295</v>
      </c>
      <c r="Q14" s="27">
        <f t="shared" si="5"/>
        <v>7915</v>
      </c>
      <c r="R14" s="27">
        <f t="shared" si="5"/>
        <v>8089</v>
      </c>
      <c r="S14" s="27">
        <f t="shared" si="5"/>
        <v>5829</v>
      </c>
      <c r="T14" s="27">
        <f t="shared" si="5"/>
        <v>4674</v>
      </c>
      <c r="U14" s="27">
        <f t="shared" si="5"/>
        <v>4349</v>
      </c>
      <c r="V14" s="27">
        <f t="shared" si="5"/>
        <v>6318</v>
      </c>
      <c r="W14" s="27">
        <f t="shared" si="5"/>
        <v>4008</v>
      </c>
      <c r="X14" s="27">
        <f t="shared" si="5"/>
        <v>1040</v>
      </c>
      <c r="Y14" s="27">
        <f t="shared" si="5"/>
        <v>7578</v>
      </c>
      <c r="Z14" s="19">
        <f t="shared" si="5"/>
        <v>8992</v>
      </c>
      <c r="AA14" s="19">
        <f t="shared" si="5"/>
        <v>16991</v>
      </c>
      <c r="AB14" s="19">
        <f t="shared" si="5"/>
        <v>1093913</v>
      </c>
      <c r="AC14" s="19">
        <f t="shared" si="0"/>
        <v>3664522</v>
      </c>
      <c r="AD14" s="19">
        <f t="shared" si="1"/>
        <v>2544626</v>
      </c>
      <c r="AE14" s="19">
        <f t="shared" si="2"/>
        <v>2570609</v>
      </c>
      <c r="AF14" s="20">
        <f t="shared" si="3"/>
        <v>1.0107721555475764E-2</v>
      </c>
      <c r="AG14" s="20">
        <f t="shared" si="4"/>
        <v>0.29851451294329795</v>
      </c>
    </row>
    <row r="15" spans="1:33" ht="26.75" customHeight="1" x14ac:dyDescent="0.2">
      <c r="A15" s="22" t="s">
        <v>21</v>
      </c>
      <c r="B15" s="20">
        <f t="shared" ref="B15:Y15" si="6">B14/$AD$14</f>
        <v>0.45199058722185498</v>
      </c>
      <c r="C15" s="20">
        <f t="shared" si="6"/>
        <v>0.23249153313689319</v>
      </c>
      <c r="D15" s="20">
        <f t="shared" si="6"/>
        <v>0.12334543465326535</v>
      </c>
      <c r="E15" s="20">
        <f t="shared" si="6"/>
        <v>4.0697532761199487E-2</v>
      </c>
      <c r="F15" s="20">
        <f t="shared" si="6"/>
        <v>4.5246334824842631E-2</v>
      </c>
      <c r="G15" s="20">
        <f t="shared" si="6"/>
        <v>2.4641342185452792E-2</v>
      </c>
      <c r="H15" s="20">
        <f t="shared" si="6"/>
        <v>1.7246542320954041E-2</v>
      </c>
      <c r="I15" s="20">
        <f t="shared" si="6"/>
        <v>1.1954998494867222E-2</v>
      </c>
      <c r="J15" s="20">
        <f t="shared" si="6"/>
        <v>4.956327570338431E-3</v>
      </c>
      <c r="K15" s="20">
        <f t="shared" si="6"/>
        <v>3.0817888365520119E-3</v>
      </c>
      <c r="L15" s="20">
        <f t="shared" si="6"/>
        <v>6.8874561526919868E-3</v>
      </c>
      <c r="M15" s="20">
        <f t="shared" si="6"/>
        <v>2.2152567803677241E-3</v>
      </c>
      <c r="N15" s="20">
        <f t="shared" si="6"/>
        <v>5.8287544024151292E-3</v>
      </c>
      <c r="O15" s="20">
        <f t="shared" si="6"/>
        <v>6.978628686494597E-3</v>
      </c>
      <c r="P15" s="20">
        <f t="shared" si="6"/>
        <v>2.8668260090087896E-3</v>
      </c>
      <c r="Q15" s="20">
        <f t="shared" si="6"/>
        <v>3.1104767458950745E-3</v>
      </c>
      <c r="R15" s="20">
        <f t="shared" si="6"/>
        <v>3.1788561462470321E-3</v>
      </c>
      <c r="S15" s="20">
        <f t="shared" si="6"/>
        <v>2.2907099117905737E-3</v>
      </c>
      <c r="T15" s="20">
        <f t="shared" si="6"/>
        <v>1.8368121680749942E-3</v>
      </c>
      <c r="U15" s="20">
        <f t="shared" si="6"/>
        <v>1.7090920237394416E-3</v>
      </c>
      <c r="V15" s="20">
        <f t="shared" si="6"/>
        <v>2.4828796058831435E-3</v>
      </c>
      <c r="W15" s="20">
        <f t="shared" si="6"/>
        <v>1.5750841184519848E-3</v>
      </c>
      <c r="X15" s="20">
        <f t="shared" si="6"/>
        <v>4.0870446187376847E-4</v>
      </c>
      <c r="Y15" s="20">
        <f t="shared" si="6"/>
        <v>2.9780407808455939E-3</v>
      </c>
    </row>
    <row r="16" spans="1:33" ht="26.75" customHeight="1" x14ac:dyDescent="0.2">
      <c r="A16" s="22" t="s">
        <v>22</v>
      </c>
      <c r="B16" s="20" t="s">
        <v>171</v>
      </c>
      <c r="C16" s="20" t="s">
        <v>172</v>
      </c>
      <c r="D16" s="20" t="s">
        <v>173</v>
      </c>
      <c r="E16" s="20" t="s">
        <v>174</v>
      </c>
      <c r="F16" s="20" t="s">
        <v>175</v>
      </c>
      <c r="G16" s="20" t="s">
        <v>176</v>
      </c>
      <c r="H16" s="20" t="s">
        <v>177</v>
      </c>
      <c r="I16" s="20" t="s">
        <v>178</v>
      </c>
      <c r="J16" s="20">
        <v>0</v>
      </c>
      <c r="K16" s="20">
        <v>0</v>
      </c>
      <c r="L16" s="20" t="s">
        <v>179</v>
      </c>
      <c r="M16" s="20">
        <v>0</v>
      </c>
      <c r="N16" s="20" t="s">
        <v>180</v>
      </c>
      <c r="O16" s="20" t="s">
        <v>181</v>
      </c>
      <c r="P16" s="20" t="s">
        <v>182</v>
      </c>
      <c r="Q16" s="20" t="s">
        <v>183</v>
      </c>
      <c r="R16" s="20" t="s">
        <v>181</v>
      </c>
      <c r="S16" s="20" t="s">
        <v>184</v>
      </c>
      <c r="T16" s="20" t="s">
        <v>185</v>
      </c>
      <c r="U16" s="20" t="s">
        <v>186</v>
      </c>
      <c r="V16" s="20" t="s">
        <v>185</v>
      </c>
      <c r="W16" s="20" t="s">
        <v>186</v>
      </c>
      <c r="X16" s="20">
        <v>0</v>
      </c>
      <c r="Y16" s="20" t="s">
        <v>186</v>
      </c>
    </row>
    <row r="17" spans="1:26" ht="26.75" customHeight="1" x14ac:dyDescent="0.2">
      <c r="A17" s="22" t="s">
        <v>23</v>
      </c>
      <c r="B17" s="23" t="str">
        <f t="shared" ref="B17:Y17" si="7">B6</f>
        <v>PUEBLO SOBERANO</v>
      </c>
      <c r="C17" s="23" t="str">
        <f t="shared" si="7"/>
        <v>LIBERACIÓN NACIONAL</v>
      </c>
      <c r="D17" s="23" t="str">
        <f t="shared" si="7"/>
        <v>FRENTE AMPLIO</v>
      </c>
      <c r="E17" s="23" t="str">
        <f t="shared" si="7"/>
        <v>AGENDA CIUDADANA</v>
      </c>
      <c r="F17" s="23" t="str">
        <f t="shared" si="7"/>
        <v>UNIDAD SOCIAL CRISTIANA</v>
      </c>
      <c r="G17" s="23" t="str">
        <f t="shared" si="7"/>
        <v>NUEVA REPÚBLICA</v>
      </c>
      <c r="H17" s="23" t="str">
        <f t="shared" si="7"/>
        <v>AVANZA</v>
      </c>
      <c r="I17" s="23" t="str">
        <f t="shared" si="7"/>
        <v>UNIDOS PODEMOS</v>
      </c>
      <c r="J17" s="23" t="str">
        <f t="shared" si="7"/>
        <v>ACTUEMOS YA</v>
      </c>
      <c r="K17" s="23" t="str">
        <f t="shared" si="7"/>
        <v>COMPATRIOTAS</v>
      </c>
      <c r="L17" s="23" t="str">
        <f t="shared" si="7"/>
        <v>LIBERAL PROGRESISTA</v>
      </c>
      <c r="M17" s="23" t="str">
        <f t="shared" si="7"/>
        <v>UNIÓN GUANACASTECA</v>
      </c>
      <c r="N17" s="23" t="str">
        <f t="shared" si="7"/>
        <v>PROGRESO SOCIAL DEMOCRÁTICO</v>
      </c>
      <c r="O17" s="23" t="str">
        <f t="shared" si="7"/>
        <v>NUEVA GENERACIÓN</v>
      </c>
      <c r="P17" s="23" t="str">
        <f t="shared" si="7"/>
        <v>INTEGRACIÓN NACIONAL</v>
      </c>
      <c r="Q17" s="23" t="str">
        <f t="shared" si="7"/>
        <v>JUSTICIA SOCIAL COSTARRICENSE</v>
      </c>
      <c r="R17" s="23" t="str">
        <f t="shared" si="7"/>
        <v>CENTRO DEMOCRÁTICO Y SOCIAL</v>
      </c>
      <c r="S17" s="23" t="str">
        <f t="shared" si="7"/>
        <v>DE LA CLASE TRABAJADORA</v>
      </c>
      <c r="T17" s="23" t="str">
        <f t="shared" si="7"/>
        <v>UNIÓN COSTARRICENSE DEMOCRÁTICA</v>
      </c>
      <c r="U17" s="23" t="str">
        <f t="shared" si="7"/>
        <v>ESPERANZA Y LIBERTAD</v>
      </c>
      <c r="V17" s="23" t="str">
        <f t="shared" si="7"/>
        <v>ESPERANZA NACIONAL</v>
      </c>
      <c r="W17" s="23" t="str">
        <f t="shared" si="7"/>
        <v>AQUÍ COSTA RICA MANDA</v>
      </c>
      <c r="X17" s="23" t="str">
        <f t="shared" si="7"/>
        <v>ANTICORRUPCIÓN COSTARRICENSE</v>
      </c>
      <c r="Y17" s="23" t="str">
        <f t="shared" si="7"/>
        <v>ALIANZA COSTA RICA PRIMERO</v>
      </c>
      <c r="Z17" s="22" t="s">
        <v>24</v>
      </c>
    </row>
    <row r="18" spans="1:26" ht="26.75" customHeight="1" x14ac:dyDescent="0.2">
      <c r="A18" s="22" t="s">
        <v>13</v>
      </c>
      <c r="B18" s="21">
        <v>7</v>
      </c>
      <c r="C18" s="21">
        <v>3</v>
      </c>
      <c r="D18" s="21">
        <v>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19">
        <f t="shared" ref="Z18:Z24" si="8">SUM(B18:Y18)</f>
        <v>12</v>
      </c>
    </row>
    <row r="19" spans="1:26" ht="26.75" customHeight="1" x14ac:dyDescent="0.2">
      <c r="A19" s="22" t="s">
        <v>14</v>
      </c>
      <c r="B19" s="21">
        <v>3</v>
      </c>
      <c r="C19" s="21">
        <v>2</v>
      </c>
      <c r="D19" s="21">
        <v>1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19">
        <f t="shared" si="8"/>
        <v>6</v>
      </c>
    </row>
    <row r="20" spans="1:26" ht="26.75" customHeight="1" x14ac:dyDescent="0.2">
      <c r="A20" s="22" t="s">
        <v>15</v>
      </c>
      <c r="B20" s="21">
        <v>3</v>
      </c>
      <c r="C20" s="21">
        <v>2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  <c r="Z20" s="19">
        <f t="shared" si="8"/>
        <v>5</v>
      </c>
    </row>
    <row r="21" spans="1:26" ht="26.75" customHeight="1" x14ac:dyDescent="0.2">
      <c r="A21" s="22" t="s">
        <v>16</v>
      </c>
      <c r="B21" s="21">
        <v>2</v>
      </c>
      <c r="C21" s="21">
        <v>2</v>
      </c>
      <c r="D21" s="21">
        <v>1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19">
        <f t="shared" si="8"/>
        <v>5</v>
      </c>
    </row>
    <row r="22" spans="1:26" ht="26.75" customHeight="1" x14ac:dyDescent="0.2">
      <c r="A22" s="22" t="s">
        <v>17</v>
      </c>
      <c r="B22" s="21">
        <v>4</v>
      </c>
      <c r="C22" s="21">
        <v>1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19">
        <f t="shared" si="8"/>
        <v>5</v>
      </c>
    </row>
    <row r="23" spans="1:26" ht="26.75" customHeight="1" x14ac:dyDescent="0.2">
      <c r="A23" s="22" t="s">
        <v>18</v>
      </c>
      <c r="B23" s="21">
        <v>4</v>
      </c>
      <c r="C23" s="21">
        <v>2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19">
        <f t="shared" si="8"/>
        <v>6</v>
      </c>
    </row>
    <row r="24" spans="1:26" ht="26.75" customHeight="1" x14ac:dyDescent="0.2">
      <c r="A24" s="22" t="s">
        <v>19</v>
      </c>
      <c r="B24" s="21">
        <v>8</v>
      </c>
      <c r="C24" s="21">
        <v>5</v>
      </c>
      <c r="D24" s="21">
        <v>3</v>
      </c>
      <c r="E24" s="21">
        <v>1</v>
      </c>
      <c r="F24" s="21">
        <v>1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  <c r="Z24" s="19">
        <f t="shared" si="8"/>
        <v>18</v>
      </c>
    </row>
    <row r="25" spans="1:26" ht="26.75" customHeight="1" x14ac:dyDescent="0.2">
      <c r="A25" s="18"/>
      <c r="B25" s="19">
        <f t="shared" ref="B25:Z25" si="9">SUM(B18:B24)</f>
        <v>31</v>
      </c>
      <c r="C25" s="19">
        <f t="shared" si="9"/>
        <v>17</v>
      </c>
      <c r="D25" s="19">
        <f t="shared" si="9"/>
        <v>7</v>
      </c>
      <c r="E25" s="19">
        <f t="shared" si="9"/>
        <v>1</v>
      </c>
      <c r="F25" s="19">
        <f t="shared" si="9"/>
        <v>1</v>
      </c>
      <c r="G25" s="19">
        <f t="shared" si="9"/>
        <v>0</v>
      </c>
      <c r="H25" s="19">
        <f t="shared" si="9"/>
        <v>0</v>
      </c>
      <c r="I25" s="19">
        <f t="shared" si="9"/>
        <v>0</v>
      </c>
      <c r="J25" s="19">
        <f t="shared" si="9"/>
        <v>0</v>
      </c>
      <c r="K25" s="19">
        <f t="shared" si="9"/>
        <v>0</v>
      </c>
      <c r="L25" s="19">
        <f t="shared" si="9"/>
        <v>0</v>
      </c>
      <c r="M25" s="19">
        <f t="shared" si="9"/>
        <v>0</v>
      </c>
      <c r="N25" s="19">
        <f t="shared" si="9"/>
        <v>0</v>
      </c>
      <c r="O25" s="19">
        <f t="shared" si="9"/>
        <v>0</v>
      </c>
      <c r="P25" s="19">
        <f t="shared" si="9"/>
        <v>0</v>
      </c>
      <c r="Q25" s="19">
        <f t="shared" si="9"/>
        <v>0</v>
      </c>
      <c r="R25" s="19">
        <f t="shared" si="9"/>
        <v>0</v>
      </c>
      <c r="S25" s="19">
        <f t="shared" si="9"/>
        <v>0</v>
      </c>
      <c r="T25" s="19">
        <f t="shared" si="9"/>
        <v>0</v>
      </c>
      <c r="U25" s="19">
        <f t="shared" si="9"/>
        <v>0</v>
      </c>
      <c r="V25" s="19">
        <f t="shared" si="9"/>
        <v>0</v>
      </c>
      <c r="W25" s="19">
        <f t="shared" si="9"/>
        <v>0</v>
      </c>
      <c r="X25" s="19">
        <f t="shared" si="9"/>
        <v>0</v>
      </c>
      <c r="Y25" s="19">
        <f t="shared" si="9"/>
        <v>0</v>
      </c>
      <c r="Z25" s="19">
        <f t="shared" si="9"/>
        <v>57</v>
      </c>
    </row>
  </sheetData>
  <mergeCells count="1">
    <mergeCell ref="A5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1953</vt:lpstr>
      <vt:lpstr>1958</vt:lpstr>
      <vt:lpstr>1962</vt:lpstr>
      <vt:lpstr>1966</vt:lpstr>
      <vt:lpstr>1970</vt:lpstr>
      <vt:lpstr>1974</vt:lpstr>
      <vt:lpstr>1978</vt:lpstr>
      <vt:lpstr>1982</vt:lpstr>
      <vt:lpstr>1986</vt:lpstr>
      <vt:lpstr>1990</vt:lpstr>
      <vt:lpstr>1994</vt:lpstr>
      <vt:lpstr>1998</vt:lpstr>
      <vt:lpstr>2002</vt:lpstr>
      <vt:lpstr>2006</vt:lpstr>
      <vt:lpstr>2010</vt:lpstr>
      <vt:lpstr>2014</vt:lpstr>
      <vt:lpstr>2018</vt:lpstr>
      <vt:lpstr>2022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Juani Fallas</cp:lastModifiedBy>
  <dcterms:created xsi:type="dcterms:W3CDTF">2026-08-14T00:58:50Z</dcterms:created>
  <dcterms:modified xsi:type="dcterms:W3CDTF">2026-09-08T18:17:56Z</dcterms:modified>
</cp:coreProperties>
</file>